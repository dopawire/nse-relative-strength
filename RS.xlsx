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<sst xmlns="http://schemas.openxmlformats.org/spreadsheetml/2006/main" count="76" uniqueCount="40">
  <si>
    <t>NIFTY_50</t>
  </si>
  <si>
    <t>Relative Strength</t>
  </si>
  <si>
    <t>RS_STS%</t>
  </si>
  <si>
    <t>Ticker</t>
  </si>
  <si>
    <t>Name</t>
  </si>
  <si>
    <t>NIFTY_BANK</t>
  </si>
  <si>
    <t>NIFTY_FIN_SERVICE</t>
  </si>
  <si>
    <t>NIFTY_MIDCAP_50</t>
  </si>
  <si>
    <t>SMALLCAP</t>
  </si>
  <si>
    <t>SENSEX</t>
  </si>
  <si>
    <t>NIFTY_500</t>
  </si>
  <si>
    <t>NIFTY_IT</t>
  </si>
  <si>
    <t>NIFTY_FMCG</t>
  </si>
  <si>
    <t>NIFTY_METAL</t>
  </si>
  <si>
    <t>NIFTY_AUTO</t>
  </si>
  <si>
    <t>NIFTY_ENERGY</t>
  </si>
  <si>
    <t>NIFTY_INFRA</t>
  </si>
  <si>
    <t>NIFTY_REALTY</t>
  </si>
  <si>
    <t>NIFTY_PSU_BANK</t>
  </si>
  <si>
    <t>NIFTY_PHARMA</t>
  </si>
  <si>
    <t>NIFTY_COMMODITIES</t>
  </si>
  <si>
    <t>NIFTY_PVT_BANK</t>
  </si>
  <si>
    <t>NIFTY_SERV_SECTOR</t>
  </si>
  <si>
    <t>CPSEETF</t>
  </si>
  <si>
    <t>GOLDBEES</t>
  </si>
  <si>
    <t>RELIANCE</t>
  </si>
  <si>
    <t>TCS</t>
  </si>
  <si>
    <t>INFY</t>
  </si>
  <si>
    <t>HDFCBANK</t>
  </si>
  <si>
    <t>ICICIBANK</t>
  </si>
  <si>
    <t>SBIN</t>
  </si>
  <si>
    <t>LT</t>
  </si>
  <si>
    <t>ITC</t>
  </si>
  <si>
    <t>HINDUNILVR</t>
  </si>
  <si>
    <t>BAJFINANCE</t>
  </si>
  <si>
    <t>MARUTI</t>
  </si>
  <si>
    <t>ADANIENT</t>
  </si>
  <si>
    <t>TMPV</t>
  </si>
  <si>
    <t>SUNPHARMA</t>
  </si>
  <si>
    <t>COALINDIA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</si>
</sst>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i/>
      <color theme="1"/>
      <name val="Arial"/>
      <scheme val="minor"/>
    </font>
    <font>
      <sz val="11.0"/>
      <color rgb="FF000000"/>
      <name val="Arial"/>
    </font>
    <font>
      <sz val="11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2" numFmtId="10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10" xfId="0" applyFont="1" applyNumberFormat="1"/>
    <xf borderId="0" fillId="0" fontId="1" numFmtId="0" xfId="0" applyFont="1"/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hidden="1" min="1" max="1" width="28.38"/>
    <col customWidth="1" min="2" max="4" width="22.5"/>
    <col customWidth="1" min="5" max="5" width="45.88"/>
    <col customWidth="1" min="31" max="32" width="15.88"/>
    <col customWidth="1" min="42" max="64" width="14.6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1">
        <v>1.0</v>
      </c>
      <c r="G1" s="1">
        <v>2.0</v>
      </c>
      <c r="H1" s="1">
        <v>3.0</v>
      </c>
      <c r="I1" s="1">
        <v>4.0</v>
      </c>
      <c r="J1" s="1">
        <v>5.0</v>
      </c>
      <c r="K1" s="1">
        <v>6.0</v>
      </c>
      <c r="L1" s="1">
        <v>7.0</v>
      </c>
      <c r="M1" s="1">
        <v>8.0</v>
      </c>
      <c r="N1" s="1">
        <v>9.0</v>
      </c>
      <c r="O1" s="1">
        <v>10.0</v>
      </c>
      <c r="P1" s="1">
        <v>11.0</v>
      </c>
      <c r="Q1" s="1">
        <v>12.0</v>
      </c>
      <c r="R1" s="1">
        <v>13.0</v>
      </c>
      <c r="S1" s="1">
        <v>14.0</v>
      </c>
      <c r="T1" s="1">
        <v>15.0</v>
      </c>
      <c r="U1" s="1">
        <v>16.0</v>
      </c>
      <c r="V1" s="1">
        <v>17.0</v>
      </c>
      <c r="W1" s="1">
        <v>18.0</v>
      </c>
      <c r="X1" s="1">
        <v>19.0</v>
      </c>
      <c r="Y1" s="1">
        <v>20.0</v>
      </c>
      <c r="Z1" s="1">
        <v>21.0</v>
      </c>
      <c r="AA1" s="1">
        <v>22.0</v>
      </c>
      <c r="AB1" s="1">
        <v>23.0</v>
      </c>
      <c r="AC1" s="1">
        <v>24.0</v>
      </c>
      <c r="AD1" s="1">
        <v>25.0</v>
      </c>
      <c r="AE1" s="1">
        <v>26.0</v>
      </c>
      <c r="AF1" s="1"/>
      <c r="AG1" s="1">
        <v>1.0</v>
      </c>
      <c r="AH1" s="1">
        <v>2.0</v>
      </c>
      <c r="AI1" s="1">
        <v>3.0</v>
      </c>
      <c r="AJ1" s="1">
        <v>4.0</v>
      </c>
      <c r="AK1" s="1">
        <v>5.0</v>
      </c>
      <c r="AL1" s="1">
        <v>6.0</v>
      </c>
      <c r="AM1" s="1">
        <v>7.0</v>
      </c>
      <c r="AN1" s="1">
        <v>8.0</v>
      </c>
      <c r="AO1" s="1">
        <v>9.0</v>
      </c>
      <c r="AP1" s="1">
        <v>10.0</v>
      </c>
      <c r="AQ1" s="1">
        <v>11.0</v>
      </c>
      <c r="AR1" s="1">
        <v>12.0</v>
      </c>
      <c r="AS1" s="1">
        <v>13.0</v>
      </c>
      <c r="AT1" s="1">
        <v>14.0</v>
      </c>
      <c r="AU1" s="1">
        <v>15.0</v>
      </c>
      <c r="AV1" s="1">
        <v>16.0</v>
      </c>
      <c r="AW1" s="1">
        <v>17.0</v>
      </c>
      <c r="AX1" s="1">
        <v>18.0</v>
      </c>
      <c r="AY1" s="1">
        <v>19.0</v>
      </c>
      <c r="AZ1" s="1">
        <v>20.0</v>
      </c>
      <c r="BA1" s="1">
        <v>21.0</v>
      </c>
      <c r="BB1" s="1">
        <v>22.0</v>
      </c>
      <c r="BC1" s="1">
        <v>23.0</v>
      </c>
      <c r="BD1" s="1">
        <v>24.0</v>
      </c>
      <c r="BE1" s="1">
        <v>25.0</v>
      </c>
      <c r="BG1" s="1"/>
      <c r="BH1" s="1"/>
      <c r="BI1" s="1"/>
      <c r="BJ1" s="1"/>
      <c r="BK1" s="1"/>
      <c r="BL1" s="1"/>
    </row>
    <row r="2">
      <c r="A2" s="1" t="s">
        <v>5</v>
      </c>
      <c r="C2" s="5"/>
      <c r="D2" s="1" t="s">
        <v>0</v>
      </c>
      <c r="E2" s="6" t="str">
        <f>IFERROR(__xludf.DUMMYFUNCTION("GOOGLEFINANCE(D2, ""name"")
"),"NIFTY 50")</f>
        <v>NIFTY 50</v>
      </c>
      <c r="F2" s="6">
        <f>IFERROR(__xludf.DUMMYFUNCTION("{TRANSPOSE(QUERY(GOOGLEFINANCE(D2, ""close"", WORKDAY(TODAY(), -27), TODAY()-1), ""SELECT Col2 OFFSET 1"", 0)), GOOGLEFINANCE(D2, ""price"")}"),23689.6)</f>
        <v>23689.6</v>
      </c>
      <c r="G2" s="6">
        <f>IFERROR(__xludf.DUMMYFUNCTION("""COMPUTED_VALUE"""),23643.5)</f>
        <v>23643.5</v>
      </c>
      <c r="H2" s="6">
        <f>IFERROR(__xludf.DUMMYFUNCTION("""COMPUTED_VALUE"""),23649.95)</f>
        <v>23649.95</v>
      </c>
      <c r="I2" s="6">
        <f>IFERROR(__xludf.DUMMYFUNCTION("""COMPUTED_VALUE"""),23618.0)</f>
        <v>23618</v>
      </c>
      <c r="J2" s="6">
        <f>IFERROR(__xludf.DUMMYFUNCTION("""COMPUTED_VALUE"""),23659.0)</f>
        <v>23659</v>
      </c>
      <c r="K2" s="6">
        <f>IFERROR(__xludf.DUMMYFUNCTION("""COMPUTED_VALUE"""),23654.7)</f>
        <v>23654.7</v>
      </c>
      <c r="L2" s="6">
        <f>IFERROR(__xludf.DUMMYFUNCTION("""COMPUTED_VALUE"""),23719.3)</f>
        <v>23719.3</v>
      </c>
      <c r="M2" s="6">
        <f>IFERROR(__xludf.DUMMYFUNCTION("""COMPUTED_VALUE"""),24031.7)</f>
        <v>24031.7</v>
      </c>
      <c r="N2" s="6">
        <f>IFERROR(__xludf.DUMMYFUNCTION("""COMPUTED_VALUE"""),23913.7)</f>
        <v>23913.7</v>
      </c>
      <c r="O2" s="6">
        <f>IFERROR(__xludf.DUMMYFUNCTION("""COMPUTED_VALUE"""),23907.15)</f>
        <v>23907.15</v>
      </c>
      <c r="P2" s="6">
        <f>IFERROR(__xludf.DUMMYFUNCTION("""COMPUTED_VALUE"""),23547.75)</f>
        <v>23547.75</v>
      </c>
      <c r="Q2" s="6">
        <f>IFERROR(__xludf.DUMMYFUNCTION("""COMPUTED_VALUE"""),23382.6)</f>
        <v>23382.6</v>
      </c>
      <c r="R2" s="6">
        <f>IFERROR(__xludf.DUMMYFUNCTION("""COMPUTED_VALUE"""),23483.55)</f>
        <v>23483.55</v>
      </c>
      <c r="S2" s="6">
        <f>IFERROR(__xludf.DUMMYFUNCTION("""COMPUTED_VALUE"""),23405.6)</f>
        <v>23405.6</v>
      </c>
      <c r="T2" s="6">
        <f>IFERROR(__xludf.DUMMYFUNCTION("""COMPUTED_VALUE"""),23416.55)</f>
        <v>23416.55</v>
      </c>
      <c r="U2" s="6">
        <f>IFERROR(__xludf.DUMMYFUNCTION("""COMPUTED_VALUE"""),23366.7)</f>
        <v>23366.7</v>
      </c>
      <c r="V2" s="6">
        <f>IFERROR(__xludf.DUMMYFUNCTION("""COMPUTED_VALUE"""),23123.0)</f>
        <v>23123</v>
      </c>
      <c r="W2" s="6">
        <f>IFERROR(__xludf.DUMMYFUNCTION("""COMPUTED_VALUE"""),23242.1)</f>
        <v>23242.1</v>
      </c>
      <c r="X2" s="6">
        <f>IFERROR(__xludf.DUMMYFUNCTION("""COMPUTED_VALUE"""),23214.95)</f>
        <v>23214.95</v>
      </c>
      <c r="Y2" s="6">
        <f>IFERROR(__xludf.DUMMYFUNCTION("""COMPUTED_VALUE"""),23161.6)</f>
        <v>23161.6</v>
      </c>
      <c r="Z2" s="6">
        <f>IFERROR(__xludf.DUMMYFUNCTION("""COMPUTED_VALUE"""),23622.9)</f>
        <v>23622.9</v>
      </c>
      <c r="AA2" s="6">
        <f>IFERROR(__xludf.DUMMYFUNCTION("""COMPUTED_VALUE"""),23853.9)</f>
        <v>23853.9</v>
      </c>
      <c r="AB2" s="6">
        <f>IFERROR(__xludf.DUMMYFUNCTION("""COMPUTED_VALUE"""),23989.15)</f>
        <v>23989.15</v>
      </c>
      <c r="AC2" s="6">
        <f>IFERROR(__xludf.DUMMYFUNCTION("""COMPUTED_VALUE"""),24085.7)</f>
        <v>24085.7</v>
      </c>
      <c r="AD2" s="6">
        <f>IFERROR(__xludf.DUMMYFUNCTION("""COMPUTED_VALUE"""),24168.0)</f>
        <v>24168</v>
      </c>
      <c r="AE2" s="6">
        <f>IFERROR(__xludf.DUMMYFUNCTION("""COMPUTED_VALUE"""),24013.1)</f>
        <v>24013.1</v>
      </c>
      <c r="AF2" s="6">
        <f>IFERROR(__xludf.DUMMYFUNCTION("""COMPUTED_VALUE"""),24013.1)</f>
        <v>24013.1</v>
      </c>
      <c r="AG2" s="6">
        <f t="shared" ref="AG2:BF2" si="1">F2/F$2</f>
        <v>1</v>
      </c>
      <c r="AH2" s="6">
        <f t="shared" si="1"/>
        <v>1</v>
      </c>
      <c r="AI2" s="6">
        <f t="shared" si="1"/>
        <v>1</v>
      </c>
      <c r="AJ2" s="6">
        <f t="shared" si="1"/>
        <v>1</v>
      </c>
      <c r="AK2" s="6">
        <f t="shared" si="1"/>
        <v>1</v>
      </c>
      <c r="AL2" s="6">
        <f t="shared" si="1"/>
        <v>1</v>
      </c>
      <c r="AM2" s="6">
        <f t="shared" si="1"/>
        <v>1</v>
      </c>
      <c r="AN2" s="6">
        <f t="shared" si="1"/>
        <v>1</v>
      </c>
      <c r="AO2" s="6">
        <f t="shared" si="1"/>
        <v>1</v>
      </c>
      <c r="AP2" s="6">
        <f t="shared" si="1"/>
        <v>1</v>
      </c>
      <c r="AQ2" s="6">
        <f t="shared" si="1"/>
        <v>1</v>
      </c>
      <c r="AR2" s="6">
        <f t="shared" si="1"/>
        <v>1</v>
      </c>
      <c r="AS2" s="6">
        <f t="shared" si="1"/>
        <v>1</v>
      </c>
      <c r="AT2" s="6">
        <f t="shared" si="1"/>
        <v>1</v>
      </c>
      <c r="AU2" s="6">
        <f t="shared" si="1"/>
        <v>1</v>
      </c>
      <c r="AV2" s="6">
        <f t="shared" si="1"/>
        <v>1</v>
      </c>
      <c r="AW2" s="6">
        <f t="shared" si="1"/>
        <v>1</v>
      </c>
      <c r="AX2" s="6">
        <f t="shared" si="1"/>
        <v>1</v>
      </c>
      <c r="AY2" s="6">
        <f t="shared" si="1"/>
        <v>1</v>
      </c>
      <c r="AZ2" s="6">
        <f t="shared" si="1"/>
        <v>1</v>
      </c>
      <c r="BA2" s="6">
        <f t="shared" si="1"/>
        <v>1</v>
      </c>
      <c r="BB2" s="6">
        <f t="shared" si="1"/>
        <v>1</v>
      </c>
      <c r="BC2" s="6">
        <f t="shared" si="1"/>
        <v>1</v>
      </c>
      <c r="BD2" s="6">
        <f t="shared" si="1"/>
        <v>1</v>
      </c>
      <c r="BE2" s="6">
        <f t="shared" si="1"/>
        <v>1</v>
      </c>
      <c r="BF2" s="6">
        <f t="shared" si="1"/>
        <v>1</v>
      </c>
    </row>
    <row r="3">
      <c r="A3" s="1" t="s">
        <v>6</v>
      </c>
      <c r="B3" s="6"/>
      <c r="C3" s="5">
        <f t="shared" ref="C3:C8" si="3">PERCENTRANK(AG3:BF3,BF3)</f>
        <v>0.96</v>
      </c>
      <c r="D3" s="1" t="s">
        <v>5</v>
      </c>
      <c r="E3" s="6" t="str">
        <f>IFERROR(__xludf.DUMMYFUNCTION("GOOGLEFINANCE(D3, ""name"")
"),"Nifty Bank")</f>
        <v>Nifty Bank</v>
      </c>
      <c r="F3" s="6">
        <f>IFERROR(__xludf.DUMMYFUNCTION("{TRANSPOSE(QUERY(GOOGLEFINANCE(D3, ""close"", WORKDAY(TODAY(), -27), TODAY()-1), ""SELECT Col2 OFFSET 1"", 0)), GOOGLEFINANCE(D3, ""price"")}"),54128.95)</f>
        <v>54128.95</v>
      </c>
      <c r="G3" s="6">
        <f>IFERROR(__xludf.DUMMYFUNCTION("""COMPUTED_VALUE"""),53710.35)</f>
        <v>53710.35</v>
      </c>
      <c r="H3" s="6">
        <f>IFERROR(__xludf.DUMMYFUNCTION("""COMPUTED_VALUE"""),53537.0)</f>
        <v>53537</v>
      </c>
      <c r="I3" s="6">
        <f>IFERROR(__xludf.DUMMYFUNCTION("""COMPUTED_VALUE"""),53409.15)</f>
        <v>53409.15</v>
      </c>
      <c r="J3" s="6">
        <f>IFERROR(__xludf.DUMMYFUNCTION("""COMPUTED_VALUE"""),53562.2)</f>
        <v>53562.2</v>
      </c>
      <c r="K3" s="6">
        <f>IFERROR(__xludf.DUMMYFUNCTION("""COMPUTED_VALUE"""),53439.4)</f>
        <v>53439.4</v>
      </c>
      <c r="L3" s="6">
        <f>IFERROR(__xludf.DUMMYFUNCTION("""COMPUTED_VALUE"""),54055.35)</f>
        <v>54055.35</v>
      </c>
      <c r="M3" s="6">
        <f>IFERROR(__xludf.DUMMYFUNCTION("""COMPUTED_VALUE"""),55293.65)</f>
        <v>55293.65</v>
      </c>
      <c r="N3" s="6">
        <f>IFERROR(__xludf.DUMMYFUNCTION("""COMPUTED_VALUE"""),55092.9)</f>
        <v>55092.9</v>
      </c>
      <c r="O3" s="6">
        <f>IFERROR(__xludf.DUMMYFUNCTION("""COMPUTED_VALUE"""),54853.85)</f>
        <v>54853.85</v>
      </c>
      <c r="P3" s="6">
        <f>IFERROR(__xludf.DUMMYFUNCTION("""COMPUTED_VALUE"""),54239.2)</f>
        <v>54239.2</v>
      </c>
      <c r="Q3" s="6">
        <f>IFERROR(__xludf.DUMMYFUNCTION("""COMPUTED_VALUE"""),53643.1)</f>
        <v>53643.1</v>
      </c>
      <c r="R3" s="6">
        <f>IFERROR(__xludf.DUMMYFUNCTION("""COMPUTED_VALUE"""),53714.65)</f>
        <v>53714.65</v>
      </c>
      <c r="S3" s="6">
        <f>IFERROR(__xludf.DUMMYFUNCTION("""COMPUTED_VALUE"""),54185.95)</f>
        <v>54185.95</v>
      </c>
      <c r="T3" s="6">
        <f>IFERROR(__xludf.DUMMYFUNCTION("""COMPUTED_VALUE"""),54307.85)</f>
        <v>54307.85</v>
      </c>
      <c r="U3" s="6">
        <f>IFERROR(__xludf.DUMMYFUNCTION("""COMPUTED_VALUE"""),54496.25)</f>
        <v>54496.25</v>
      </c>
      <c r="V3" s="6">
        <f>IFERROR(__xludf.DUMMYFUNCTION("""COMPUTED_VALUE"""),54063.75)</f>
        <v>54063.75</v>
      </c>
      <c r="W3" s="6">
        <f>IFERROR(__xludf.DUMMYFUNCTION("""COMPUTED_VALUE"""),55194.5)</f>
        <v>55194.5</v>
      </c>
      <c r="X3" s="6">
        <f>IFERROR(__xludf.DUMMYFUNCTION("""COMPUTED_VALUE"""),55100.3)</f>
        <v>55100.3</v>
      </c>
      <c r="Y3" s="6">
        <f>IFERROR(__xludf.DUMMYFUNCTION("""COMPUTED_VALUE"""),55176.75)</f>
        <v>55176.75</v>
      </c>
      <c r="Z3" s="6">
        <f>IFERROR(__xludf.DUMMYFUNCTION("""COMPUTED_VALUE"""),56814.8)</f>
        <v>56814.8</v>
      </c>
      <c r="AA3" s="6">
        <f>IFERROR(__xludf.DUMMYFUNCTION("""COMPUTED_VALUE"""),57198.8)</f>
        <v>57198.8</v>
      </c>
      <c r="AB3" s="6">
        <f>IFERROR(__xludf.DUMMYFUNCTION("""COMPUTED_VALUE"""),57297.15)</f>
        <v>57297.15</v>
      </c>
      <c r="AC3" s="6">
        <f>IFERROR(__xludf.DUMMYFUNCTION("""COMPUTED_VALUE"""),57585.05)</f>
        <v>57585.05</v>
      </c>
      <c r="AD3" s="6">
        <f>IFERROR(__xludf.DUMMYFUNCTION("""COMPUTED_VALUE"""),57963.8)</f>
        <v>57963.8</v>
      </c>
      <c r="AE3" s="6">
        <f>IFERROR(__xludf.DUMMYFUNCTION("""COMPUTED_VALUE"""),57685.75)</f>
        <v>57685.75</v>
      </c>
      <c r="AF3" s="6">
        <f>IFERROR(__xludf.DUMMYFUNCTION("""COMPUTED_VALUE"""),57685.75)</f>
        <v>57685.75</v>
      </c>
      <c r="AG3" s="6">
        <f t="shared" ref="AG3:BF3" si="2">F3/F$2</f>
        <v>2.284924608</v>
      </c>
      <c r="AH3" s="6">
        <f t="shared" si="2"/>
        <v>2.27167509</v>
      </c>
      <c r="AI3" s="6">
        <f t="shared" si="2"/>
        <v>2.263725716</v>
      </c>
      <c r="AJ3" s="6">
        <f t="shared" si="2"/>
        <v>2.261374799</v>
      </c>
      <c r="AK3" s="6">
        <f t="shared" si="2"/>
        <v>2.263924933</v>
      </c>
      <c r="AL3" s="6">
        <f t="shared" si="2"/>
        <v>2.259145117</v>
      </c>
      <c r="AM3" s="6">
        <f t="shared" si="2"/>
        <v>2.278960593</v>
      </c>
      <c r="AN3" s="6">
        <f t="shared" si="2"/>
        <v>2.300863027</v>
      </c>
      <c r="AO3" s="6">
        <f t="shared" si="2"/>
        <v>2.303821659</v>
      </c>
      <c r="AP3" s="6">
        <f t="shared" si="2"/>
        <v>2.294453751</v>
      </c>
      <c r="AQ3" s="6">
        <f t="shared" si="2"/>
        <v>2.30337081</v>
      </c>
      <c r="AR3" s="6">
        <f t="shared" si="2"/>
        <v>2.294146074</v>
      </c>
      <c r="AS3" s="6">
        <f t="shared" si="2"/>
        <v>2.287330919</v>
      </c>
      <c r="AT3" s="6">
        <f t="shared" si="2"/>
        <v>2.315084851</v>
      </c>
      <c r="AU3" s="6">
        <f t="shared" si="2"/>
        <v>2.319207996</v>
      </c>
      <c r="AV3" s="6">
        <f t="shared" si="2"/>
        <v>2.332218499</v>
      </c>
      <c r="AW3" s="6">
        <f t="shared" si="2"/>
        <v>2.338094105</v>
      </c>
      <c r="AX3" s="6">
        <f t="shared" si="2"/>
        <v>2.374763898</v>
      </c>
      <c r="AY3" s="6">
        <f t="shared" si="2"/>
        <v>2.373483466</v>
      </c>
      <c r="AZ3" s="6">
        <f t="shared" si="2"/>
        <v>2.382251226</v>
      </c>
      <c r="BA3" s="6">
        <f t="shared" si="2"/>
        <v>2.405073044</v>
      </c>
      <c r="BB3" s="6">
        <f t="shared" si="2"/>
        <v>2.39788043</v>
      </c>
      <c r="BC3" s="6">
        <f t="shared" si="2"/>
        <v>2.388461033</v>
      </c>
      <c r="BD3" s="6">
        <f t="shared" si="2"/>
        <v>2.390839793</v>
      </c>
      <c r="BE3" s="6">
        <f t="shared" si="2"/>
        <v>2.398369745</v>
      </c>
      <c r="BF3" s="6">
        <f t="shared" si="2"/>
        <v>2.402261682</v>
      </c>
    </row>
    <row r="4">
      <c r="A4" s="1" t="s">
        <v>7</v>
      </c>
      <c r="B4" s="6"/>
      <c r="C4" s="5">
        <f t="shared" si="3"/>
        <v>0.92</v>
      </c>
      <c r="D4" s="1" t="s">
        <v>6</v>
      </c>
      <c r="E4" s="6" t="str">
        <f>IFERROR(__xludf.DUMMYFUNCTION("GOOGLEFINANCE(D4, ""name"")
"),"Nifty Financial Services")</f>
        <v>Nifty Financial Services</v>
      </c>
      <c r="F4" s="6">
        <f>IFERROR(__xludf.DUMMYFUNCTION("{TRANSPOSE(QUERY(GOOGLEFINANCE(D4, ""close"", WORKDAY(TODAY(), -27), TODAY()-1), ""SELECT Col2 OFFSET 1"", 0)), GOOGLEFINANCE(D4, ""price"")}"),25472.5)</f>
        <v>25472.5</v>
      </c>
      <c r="G4" s="6">
        <f>IFERROR(__xludf.DUMMYFUNCTION("""COMPUTED_VALUE"""),25343.85)</f>
        <v>25343.85</v>
      </c>
      <c r="H4" s="6">
        <f>IFERROR(__xludf.DUMMYFUNCTION("""COMPUTED_VALUE"""),25349.75)</f>
        <v>25349.75</v>
      </c>
      <c r="I4" s="6">
        <f>IFERROR(__xludf.DUMMYFUNCTION("""COMPUTED_VALUE"""),25283.4)</f>
        <v>25283.4</v>
      </c>
      <c r="J4" s="6">
        <f>IFERROR(__xludf.DUMMYFUNCTION("""COMPUTED_VALUE"""),25294.6)</f>
        <v>25294.6</v>
      </c>
      <c r="K4" s="6">
        <f>IFERROR(__xludf.DUMMYFUNCTION("""COMPUTED_VALUE"""),25237.2)</f>
        <v>25237.2</v>
      </c>
      <c r="L4" s="6">
        <f>IFERROR(__xludf.DUMMYFUNCTION("""COMPUTED_VALUE"""),25531.5)</f>
        <v>25531.5</v>
      </c>
      <c r="M4" s="6">
        <f>IFERROR(__xludf.DUMMYFUNCTION("""COMPUTED_VALUE"""),26102.15)</f>
        <v>26102.15</v>
      </c>
      <c r="N4" s="6">
        <f>IFERROR(__xludf.DUMMYFUNCTION("""COMPUTED_VALUE"""),25932.25)</f>
        <v>25932.25</v>
      </c>
      <c r="O4" s="6">
        <f>IFERROR(__xludf.DUMMYFUNCTION("""COMPUTED_VALUE"""),25752.2)</f>
        <v>25752.2</v>
      </c>
      <c r="P4" s="6">
        <f>IFERROR(__xludf.DUMMYFUNCTION("""COMPUTED_VALUE"""),25354.0)</f>
        <v>25354</v>
      </c>
      <c r="Q4" s="6">
        <f>IFERROR(__xludf.DUMMYFUNCTION("""COMPUTED_VALUE"""),25008.45)</f>
        <v>25008.45</v>
      </c>
      <c r="R4" s="6">
        <f>IFERROR(__xludf.DUMMYFUNCTION("""COMPUTED_VALUE"""),24861.25)</f>
        <v>24861.25</v>
      </c>
      <c r="S4" s="6">
        <f>IFERROR(__xludf.DUMMYFUNCTION("""COMPUTED_VALUE"""),24955.7)</f>
        <v>24955.7</v>
      </c>
      <c r="T4" s="6">
        <f>IFERROR(__xludf.DUMMYFUNCTION("""COMPUTED_VALUE"""),25031.25)</f>
        <v>25031.25</v>
      </c>
      <c r="U4" s="6">
        <f>IFERROR(__xludf.DUMMYFUNCTION("""COMPUTED_VALUE"""),25056.8)</f>
        <v>25056.8</v>
      </c>
      <c r="V4" s="6">
        <f>IFERROR(__xludf.DUMMYFUNCTION("""COMPUTED_VALUE"""),24805.0)</f>
        <v>24805</v>
      </c>
      <c r="W4" s="6">
        <f>IFERROR(__xludf.DUMMYFUNCTION("""COMPUTED_VALUE"""),25152.45)</f>
        <v>25152.45</v>
      </c>
      <c r="X4" s="6">
        <f>IFERROR(__xludf.DUMMYFUNCTION("""COMPUTED_VALUE"""),25206.25)</f>
        <v>25206.25</v>
      </c>
      <c r="Y4" s="6">
        <f>IFERROR(__xludf.DUMMYFUNCTION("""COMPUTED_VALUE"""),25152.0)</f>
        <v>25152</v>
      </c>
      <c r="Z4" s="6">
        <f>IFERROR(__xludf.DUMMYFUNCTION("""COMPUTED_VALUE"""),25943.35)</f>
        <v>25943.35</v>
      </c>
      <c r="AA4" s="6">
        <f>IFERROR(__xludf.DUMMYFUNCTION("""COMPUTED_VALUE"""),26274.8)</f>
        <v>26274.8</v>
      </c>
      <c r="AB4" s="6">
        <f>IFERROR(__xludf.DUMMYFUNCTION("""COMPUTED_VALUE"""),26442.3)</f>
        <v>26442.3</v>
      </c>
      <c r="AC4" s="6">
        <f>IFERROR(__xludf.DUMMYFUNCTION("""COMPUTED_VALUE"""),26404.95)</f>
        <v>26404.95</v>
      </c>
      <c r="AD4" s="6">
        <f>IFERROR(__xludf.DUMMYFUNCTION("""COMPUTED_VALUE"""),26581.95)</f>
        <v>26581.95</v>
      </c>
      <c r="AE4" s="6">
        <f>IFERROR(__xludf.DUMMYFUNCTION("""COMPUTED_VALUE"""),26431.15)</f>
        <v>26431.15</v>
      </c>
      <c r="AF4" s="6">
        <f>IFERROR(__xludf.DUMMYFUNCTION("""COMPUTED_VALUE"""),26431.15)</f>
        <v>26431.15</v>
      </c>
      <c r="AG4" s="6">
        <f t="shared" ref="AG4:BF4" si="4">F4/F$2</f>
        <v>1.075260874</v>
      </c>
      <c r="AH4" s="6">
        <f t="shared" si="4"/>
        <v>1.071916171</v>
      </c>
      <c r="AI4" s="6">
        <f t="shared" si="4"/>
        <v>1.071873302</v>
      </c>
      <c r="AJ4" s="6">
        <f t="shared" si="4"/>
        <v>1.070514015</v>
      </c>
      <c r="AK4" s="6">
        <f t="shared" si="4"/>
        <v>1.069132254</v>
      </c>
      <c r="AL4" s="6">
        <f t="shared" si="4"/>
        <v>1.066900024</v>
      </c>
      <c r="AM4" s="6">
        <f t="shared" si="4"/>
        <v>1.076401917</v>
      </c>
      <c r="AN4" s="6">
        <f t="shared" si="4"/>
        <v>1.086154954</v>
      </c>
      <c r="AO4" s="6">
        <f t="shared" si="4"/>
        <v>1.084409773</v>
      </c>
      <c r="AP4" s="6">
        <f t="shared" si="4"/>
        <v>1.077175657</v>
      </c>
      <c r="AQ4" s="6">
        <f t="shared" si="4"/>
        <v>1.076705842</v>
      </c>
      <c r="AR4" s="6">
        <f t="shared" si="4"/>
        <v>1.069532473</v>
      </c>
      <c r="AS4" s="6">
        <f t="shared" si="4"/>
        <v>1.058666599</v>
      </c>
      <c r="AT4" s="6">
        <f t="shared" si="4"/>
        <v>1.06622774</v>
      </c>
      <c r="AU4" s="6">
        <f t="shared" si="4"/>
        <v>1.068955504</v>
      </c>
      <c r="AV4" s="6">
        <f t="shared" si="4"/>
        <v>1.072329426</v>
      </c>
      <c r="AW4" s="6">
        <f t="shared" si="4"/>
        <v>1.072741426</v>
      </c>
      <c r="AX4" s="6">
        <f t="shared" si="4"/>
        <v>1.08219352</v>
      </c>
      <c r="AY4" s="6">
        <f t="shared" si="4"/>
        <v>1.085776622</v>
      </c>
      <c r="AZ4" s="6">
        <f t="shared" si="4"/>
        <v>1.085935341</v>
      </c>
      <c r="BA4" s="6">
        <f t="shared" si="4"/>
        <v>1.098228837</v>
      </c>
      <c r="BB4" s="6">
        <f t="shared" si="4"/>
        <v>1.101488645</v>
      </c>
      <c r="BC4" s="6">
        <f t="shared" si="4"/>
        <v>1.102260814</v>
      </c>
      <c r="BD4" s="6">
        <f t="shared" si="4"/>
        <v>1.096291575</v>
      </c>
      <c r="BE4" s="6">
        <f t="shared" si="4"/>
        <v>1.099882075</v>
      </c>
      <c r="BF4" s="6">
        <f t="shared" si="4"/>
        <v>1.100697119</v>
      </c>
    </row>
    <row r="5">
      <c r="A5" s="1" t="s">
        <v>8</v>
      </c>
      <c r="B5" s="6"/>
      <c r="C5" s="5">
        <f t="shared" si="3"/>
        <v>0.76</v>
      </c>
      <c r="D5" s="1" t="s">
        <v>7</v>
      </c>
      <c r="E5" s="6" t="str">
        <f>IFERROR(__xludf.DUMMYFUNCTION("GOOGLEFINANCE(D5, ""name"")
"),"Nifty Midcap 50")</f>
        <v>Nifty Midcap 50</v>
      </c>
      <c r="F5" s="6">
        <f>IFERROR(__xludf.DUMMYFUNCTION("{TRANSPOSE(QUERY(GOOGLEFINANCE(D5, ""close"", WORKDAY(TODAY(), -27), TODAY()-1), ""SELECT Col2 OFFSET 1"", 0)), GOOGLEFINANCE(D5, ""price"")}"),17357.5)</f>
        <v>17357.5</v>
      </c>
      <c r="G5" s="6">
        <f>IFERROR(__xludf.DUMMYFUNCTION("""COMPUTED_VALUE"""),17273.15)</f>
        <v>17273.15</v>
      </c>
      <c r="H5" s="6">
        <f>IFERROR(__xludf.DUMMYFUNCTION("""COMPUTED_VALUE"""),17261.35)</f>
        <v>17261.35</v>
      </c>
      <c r="I5" s="6">
        <f>IFERROR(__xludf.DUMMYFUNCTION("""COMPUTED_VALUE"""),17413.75)</f>
        <v>17413.75</v>
      </c>
      <c r="J5" s="6">
        <f>IFERROR(__xludf.DUMMYFUNCTION("""COMPUTED_VALUE"""),17499.8)</f>
        <v>17499.8</v>
      </c>
      <c r="K5" s="6">
        <f>IFERROR(__xludf.DUMMYFUNCTION("""COMPUTED_VALUE"""),17454.1)</f>
        <v>17454.1</v>
      </c>
      <c r="L5" s="6">
        <f>IFERROR(__xludf.DUMMYFUNCTION("""COMPUTED_VALUE"""),17478.25)</f>
        <v>17478.25</v>
      </c>
      <c r="M5" s="6">
        <f>IFERROR(__xludf.DUMMYFUNCTION("""COMPUTED_VALUE"""),17650.6)</f>
        <v>17650.6</v>
      </c>
      <c r="N5" s="6">
        <f>IFERROR(__xludf.DUMMYFUNCTION("""COMPUTED_VALUE"""),17741.15)</f>
        <v>17741.15</v>
      </c>
      <c r="O5" s="6">
        <f>IFERROR(__xludf.DUMMYFUNCTION("""COMPUTED_VALUE"""),17754.95)</f>
        <v>17754.95</v>
      </c>
      <c r="P5" s="6">
        <f>IFERROR(__xludf.DUMMYFUNCTION("""COMPUTED_VALUE"""),17490.55)</f>
        <v>17490.55</v>
      </c>
      <c r="Q5" s="6">
        <f>IFERROR(__xludf.DUMMYFUNCTION("""COMPUTED_VALUE"""),17279.2)</f>
        <v>17279.2</v>
      </c>
      <c r="R5" s="6">
        <f>IFERROR(__xludf.DUMMYFUNCTION("""COMPUTED_VALUE"""),17287.3)</f>
        <v>17287.3</v>
      </c>
      <c r="S5" s="6">
        <f>IFERROR(__xludf.DUMMYFUNCTION("""COMPUTED_VALUE"""),17190.5)</f>
        <v>17190.5</v>
      </c>
      <c r="T5" s="6">
        <f>IFERROR(__xludf.DUMMYFUNCTION("""COMPUTED_VALUE"""),17264.65)</f>
        <v>17264.65</v>
      </c>
      <c r="U5" s="6">
        <f>IFERROR(__xludf.DUMMYFUNCTION("""COMPUTED_VALUE"""),17198.9)</f>
        <v>17198.9</v>
      </c>
      <c r="V5" s="6">
        <f>IFERROR(__xludf.DUMMYFUNCTION("""COMPUTED_VALUE"""),17039.15)</f>
        <v>17039.15</v>
      </c>
      <c r="W5" s="6">
        <f>IFERROR(__xludf.DUMMYFUNCTION("""COMPUTED_VALUE"""),17248.1)</f>
        <v>17248.1</v>
      </c>
      <c r="X5" s="6">
        <f>IFERROR(__xludf.DUMMYFUNCTION("""COMPUTED_VALUE"""),17005.2)</f>
        <v>17005.2</v>
      </c>
      <c r="Y5" s="6">
        <f>IFERROR(__xludf.DUMMYFUNCTION("""COMPUTED_VALUE"""),16865.5)</f>
        <v>16865.5</v>
      </c>
      <c r="Z5" s="6">
        <f>IFERROR(__xludf.DUMMYFUNCTION("""COMPUTED_VALUE"""),17265.9)</f>
        <v>17265.9</v>
      </c>
      <c r="AA5" s="6">
        <f>IFERROR(__xludf.DUMMYFUNCTION("""COMPUTED_VALUE"""),17501.9)</f>
        <v>17501.9</v>
      </c>
      <c r="AB5" s="6">
        <f>IFERROR(__xludf.DUMMYFUNCTION("""COMPUTED_VALUE"""),17607.15)</f>
        <v>17607.15</v>
      </c>
      <c r="AC5" s="6">
        <f>IFERROR(__xludf.DUMMYFUNCTION("""COMPUTED_VALUE"""),17659.65)</f>
        <v>17659.65</v>
      </c>
      <c r="AD5" s="6">
        <f>IFERROR(__xludf.DUMMYFUNCTION("""COMPUTED_VALUE"""),17716.85)</f>
        <v>17716.85</v>
      </c>
      <c r="AE5" s="6">
        <f>IFERROR(__xludf.DUMMYFUNCTION("""COMPUTED_VALUE"""),17735.3)</f>
        <v>17735.3</v>
      </c>
      <c r="AF5" s="6">
        <f>IFERROR(__xludf.DUMMYFUNCTION("""COMPUTED_VALUE"""),17735.3)</f>
        <v>17735.3</v>
      </c>
      <c r="AG5" s="6">
        <f t="shared" ref="AG5:BF5" si="5">F5/F$2</f>
        <v>0.732705491</v>
      </c>
      <c r="AH5" s="6">
        <f t="shared" si="5"/>
        <v>0.7305665405</v>
      </c>
      <c r="AI5" s="6">
        <f t="shared" si="5"/>
        <v>0.7298683507</v>
      </c>
      <c r="AJ5" s="6">
        <f t="shared" si="5"/>
        <v>0.7373084088</v>
      </c>
      <c r="AK5" s="6">
        <f t="shared" si="5"/>
        <v>0.7396677797</v>
      </c>
      <c r="AL5" s="6">
        <f t="shared" si="5"/>
        <v>0.7378702753</v>
      </c>
      <c r="AM5" s="6">
        <f t="shared" si="5"/>
        <v>0.7368788286</v>
      </c>
      <c r="AN5" s="6">
        <f t="shared" si="5"/>
        <v>0.7344715522</v>
      </c>
      <c r="AO5" s="6">
        <f t="shared" si="5"/>
        <v>0.7418822683</v>
      </c>
      <c r="AP5" s="6">
        <f t="shared" si="5"/>
        <v>0.7426627599</v>
      </c>
      <c r="AQ5" s="6">
        <f t="shared" si="5"/>
        <v>0.742769479</v>
      </c>
      <c r="AR5" s="6">
        <f t="shared" si="5"/>
        <v>0.738976846</v>
      </c>
      <c r="AS5" s="6">
        <f t="shared" si="5"/>
        <v>0.7361450888</v>
      </c>
      <c r="AT5" s="6">
        <f t="shared" si="5"/>
        <v>0.7344609837</v>
      </c>
      <c r="AU5" s="6">
        <f t="shared" si="5"/>
        <v>0.7372841003</v>
      </c>
      <c r="AV5" s="6">
        <f t="shared" si="5"/>
        <v>0.7360431725</v>
      </c>
      <c r="AW5" s="6">
        <f t="shared" si="5"/>
        <v>0.7368918393</v>
      </c>
      <c r="AX5" s="6">
        <f t="shared" si="5"/>
        <v>0.7421059199</v>
      </c>
      <c r="AY5" s="6">
        <f t="shared" si="5"/>
        <v>0.7325107312</v>
      </c>
      <c r="AZ5" s="6">
        <f t="shared" si="5"/>
        <v>0.7281664479</v>
      </c>
      <c r="BA5" s="6">
        <f t="shared" si="5"/>
        <v>0.7308967146</v>
      </c>
      <c r="BB5" s="6">
        <f t="shared" si="5"/>
        <v>0.733712307</v>
      </c>
      <c r="BC5" s="6">
        <f t="shared" si="5"/>
        <v>0.7339630625</v>
      </c>
      <c r="BD5" s="6">
        <f t="shared" si="5"/>
        <v>0.7332006128</v>
      </c>
      <c r="BE5" s="6">
        <f t="shared" si="5"/>
        <v>0.7330705892</v>
      </c>
      <c r="BF5" s="6">
        <f t="shared" si="5"/>
        <v>0.7385676985</v>
      </c>
    </row>
    <row r="6">
      <c r="A6" s="1" t="s">
        <v>9</v>
      </c>
      <c r="B6" s="6"/>
      <c r="C6" s="5">
        <f t="shared" si="3"/>
        <v>1</v>
      </c>
      <c r="D6" s="1" t="s">
        <v>8</v>
      </c>
      <c r="E6" s="6" t="str">
        <f>IFERROR(__xludf.DUMMYFUNCTION("GOOGLEFINANCE(D6, ""name"")
"),"Mirae Asset Nifty Smallcap 250 Momentum Ql 100 ETF")</f>
        <v>Mirae Asset Nifty Smallcap 250 Momentum Ql 100 ETF</v>
      </c>
      <c r="F6" s="6">
        <f>IFERROR(__xludf.DUMMYFUNCTION("{TRANSPOSE(QUERY(GOOGLEFINANCE(D6, ""close"", WORKDAY(TODAY(), -27), TODAY()-1), ""SELECT Col2 OFFSET 1"", 0)), GOOGLEFINANCE(D6, ""price"")}"),44.77)</f>
        <v>44.77</v>
      </c>
      <c r="G6" s="6">
        <f>IFERROR(__xludf.DUMMYFUNCTION("""COMPUTED_VALUE"""),44.64)</f>
        <v>44.64</v>
      </c>
      <c r="H6" s="6">
        <f>IFERROR(__xludf.DUMMYFUNCTION("""COMPUTED_VALUE"""),44.19)</f>
        <v>44.19</v>
      </c>
      <c r="I6" s="6">
        <f>IFERROR(__xludf.DUMMYFUNCTION("""COMPUTED_VALUE"""),44.82)</f>
        <v>44.82</v>
      </c>
      <c r="J6" s="6">
        <f>IFERROR(__xludf.DUMMYFUNCTION("""COMPUTED_VALUE"""),44.87)</f>
        <v>44.87</v>
      </c>
      <c r="K6" s="6">
        <f>IFERROR(__xludf.DUMMYFUNCTION("""COMPUTED_VALUE"""),45.19)</f>
        <v>45.19</v>
      </c>
      <c r="L6" s="6">
        <f>IFERROR(__xludf.DUMMYFUNCTION("""COMPUTED_VALUE"""),44.95)</f>
        <v>44.95</v>
      </c>
      <c r="M6" s="6">
        <f>IFERROR(__xludf.DUMMYFUNCTION("""COMPUTED_VALUE"""),45.56)</f>
        <v>45.56</v>
      </c>
      <c r="N6" s="6">
        <f>IFERROR(__xludf.DUMMYFUNCTION("""COMPUTED_VALUE"""),45.49)</f>
        <v>45.49</v>
      </c>
      <c r="O6" s="6">
        <f>IFERROR(__xludf.DUMMYFUNCTION("""COMPUTED_VALUE"""),45.5)</f>
        <v>45.5</v>
      </c>
      <c r="P6" s="6">
        <f>IFERROR(__xludf.DUMMYFUNCTION("""COMPUTED_VALUE"""),45.0)</f>
        <v>45</v>
      </c>
      <c r="Q6" s="6">
        <f>IFERROR(__xludf.DUMMYFUNCTION("""COMPUTED_VALUE"""),44.69)</f>
        <v>44.69</v>
      </c>
      <c r="R6" s="6">
        <f>IFERROR(__xludf.DUMMYFUNCTION("""COMPUTED_VALUE"""),44.99)</f>
        <v>44.99</v>
      </c>
      <c r="S6" s="6">
        <f>IFERROR(__xludf.DUMMYFUNCTION("""COMPUTED_VALUE"""),44.73)</f>
        <v>44.73</v>
      </c>
      <c r="T6" s="6">
        <f>IFERROR(__xludf.DUMMYFUNCTION("""COMPUTED_VALUE"""),45.04)</f>
        <v>45.04</v>
      </c>
      <c r="U6" s="6">
        <f>IFERROR(__xludf.DUMMYFUNCTION("""COMPUTED_VALUE"""),44.9)</f>
        <v>44.9</v>
      </c>
      <c r="V6" s="6">
        <f>IFERROR(__xludf.DUMMYFUNCTION("""COMPUTED_VALUE"""),44.12)</f>
        <v>44.12</v>
      </c>
      <c r="W6" s="6">
        <f>IFERROR(__xludf.DUMMYFUNCTION("""COMPUTED_VALUE"""),44.66)</f>
        <v>44.66</v>
      </c>
      <c r="X6" s="6">
        <f>IFERROR(__xludf.DUMMYFUNCTION("""COMPUTED_VALUE"""),44.03)</f>
        <v>44.03</v>
      </c>
      <c r="Y6" s="6">
        <f>IFERROR(__xludf.DUMMYFUNCTION("""COMPUTED_VALUE"""),43.7)</f>
        <v>43.7</v>
      </c>
      <c r="Z6" s="6">
        <f>IFERROR(__xludf.DUMMYFUNCTION("""COMPUTED_VALUE"""),44.93)</f>
        <v>44.93</v>
      </c>
      <c r="AA6" s="6">
        <f>IFERROR(__xludf.DUMMYFUNCTION("""COMPUTED_VALUE"""),45.52)</f>
        <v>45.52</v>
      </c>
      <c r="AB6" s="6">
        <f>IFERROR(__xludf.DUMMYFUNCTION("""COMPUTED_VALUE"""),45.66)</f>
        <v>45.66</v>
      </c>
      <c r="AC6" s="6">
        <f>IFERROR(__xludf.DUMMYFUNCTION("""COMPUTED_VALUE"""),45.94)</f>
        <v>45.94</v>
      </c>
      <c r="AD6" s="6">
        <f>IFERROR(__xludf.DUMMYFUNCTION("""COMPUTED_VALUE"""),46.17)</f>
        <v>46.17</v>
      </c>
      <c r="AE6" s="6">
        <f>IFERROR(__xludf.DUMMYFUNCTION("""COMPUTED_VALUE"""),46.37)</f>
        <v>46.37</v>
      </c>
      <c r="AF6" s="6">
        <f>IFERROR(__xludf.DUMMYFUNCTION("""COMPUTED_VALUE"""),46.5)</f>
        <v>46.5</v>
      </c>
      <c r="AG6" s="6">
        <f t="shared" ref="AG6:BF6" si="6">F6/F$2</f>
        <v>0.001889858841</v>
      </c>
      <c r="AH6" s="6">
        <f t="shared" si="6"/>
        <v>0.00188804534</v>
      </c>
      <c r="AI6" s="6">
        <f t="shared" si="6"/>
        <v>0.001868502893</v>
      </c>
      <c r="AJ6" s="6">
        <f t="shared" si="6"/>
        <v>0.00189770514</v>
      </c>
      <c r="AK6" s="6">
        <f t="shared" si="6"/>
        <v>0.001896529862</v>
      </c>
      <c r="AL6" s="6">
        <f t="shared" si="6"/>
        <v>0.001910402584</v>
      </c>
      <c r="AM6" s="6">
        <f t="shared" si="6"/>
        <v>0.001895081221</v>
      </c>
      <c r="AN6" s="6">
        <f t="shared" si="6"/>
        <v>0.001895829259</v>
      </c>
      <c r="AO6" s="6">
        <f t="shared" si="6"/>
        <v>0.001902256865</v>
      </c>
      <c r="AP6" s="6">
        <f t="shared" si="6"/>
        <v>0.001903196324</v>
      </c>
      <c r="AQ6" s="6">
        <f t="shared" si="6"/>
        <v>0.001911010606</v>
      </c>
      <c r="AR6" s="6">
        <f t="shared" si="6"/>
        <v>0.001911250246</v>
      </c>
      <c r="AS6" s="6">
        <f t="shared" si="6"/>
        <v>0.001915809152</v>
      </c>
      <c r="AT6" s="6">
        <f t="shared" si="6"/>
        <v>0.001911081109</v>
      </c>
      <c r="AU6" s="6">
        <f t="shared" si="6"/>
        <v>0.001923425953</v>
      </c>
      <c r="AV6" s="6">
        <f t="shared" si="6"/>
        <v>0.001921537915</v>
      </c>
      <c r="AW6" s="6">
        <f t="shared" si="6"/>
        <v>0.001908056913</v>
      </c>
      <c r="AX6" s="6">
        <f t="shared" si="6"/>
        <v>0.001921513116</v>
      </c>
      <c r="AY6" s="6">
        <f t="shared" si="6"/>
        <v>0.00189662265</v>
      </c>
      <c r="AZ6" s="6">
        <f t="shared" si="6"/>
        <v>0.001886743576</v>
      </c>
      <c r="BA6" s="6">
        <f t="shared" si="6"/>
        <v>0.001901968006</v>
      </c>
      <c r="BB6" s="6">
        <f t="shared" si="6"/>
        <v>0.001908283342</v>
      </c>
      <c r="BC6" s="6">
        <f t="shared" si="6"/>
        <v>0.001903360478</v>
      </c>
      <c r="BD6" s="6">
        <f t="shared" si="6"/>
        <v>0.001907355817</v>
      </c>
      <c r="BE6" s="6">
        <f t="shared" si="6"/>
        <v>0.001910377358</v>
      </c>
      <c r="BF6" s="6">
        <f t="shared" si="6"/>
        <v>0.001931029313</v>
      </c>
    </row>
    <row r="7">
      <c r="A7" s="1" t="s">
        <v>10</v>
      </c>
      <c r="B7" s="6"/>
      <c r="C7" s="5">
        <f t="shared" si="3"/>
        <v>0.88</v>
      </c>
      <c r="D7" s="1" t="s">
        <v>9</v>
      </c>
      <c r="E7" s="6" t="str">
        <f>IFERROR(__xludf.DUMMYFUNCTION("GOOGLEFINANCE(D7, ""name"")
"),"BSE SENSEX")</f>
        <v>BSE SENSEX</v>
      </c>
      <c r="F7" s="6">
        <f>IFERROR(__xludf.DUMMYFUNCTION("{TRANSPOSE(QUERY(GOOGLEFINANCE(D7, ""close"", WORKDAY(TODAY(), -27), TODAY()-1), ""SELECT Col2 OFFSET 1"", 0)), GOOGLEFINANCE(D7, ""price"")}"),75398.72)</f>
        <v>75398.72</v>
      </c>
      <c r="G7" s="6">
        <f>IFERROR(__xludf.DUMMYFUNCTION("""COMPUTED_VALUE"""),75237.99)</f>
        <v>75237.99</v>
      </c>
      <c r="H7" s="6">
        <f>IFERROR(__xludf.DUMMYFUNCTION("""COMPUTED_VALUE"""),75315.04)</f>
        <v>75315.04</v>
      </c>
      <c r="I7" s="6">
        <f>IFERROR(__xludf.DUMMYFUNCTION("""COMPUTED_VALUE"""),75200.85)</f>
        <v>75200.85</v>
      </c>
      <c r="J7" s="6">
        <f>IFERROR(__xludf.DUMMYFUNCTION("""COMPUTED_VALUE"""),75318.39)</f>
        <v>75318.39</v>
      </c>
      <c r="K7" s="6">
        <f>IFERROR(__xludf.DUMMYFUNCTION("""COMPUTED_VALUE"""),75183.36)</f>
        <v>75183.36</v>
      </c>
      <c r="L7" s="6">
        <f>IFERROR(__xludf.DUMMYFUNCTION("""COMPUTED_VALUE"""),75415.35)</f>
        <v>75415.35</v>
      </c>
      <c r="M7" s="6">
        <f>IFERROR(__xludf.DUMMYFUNCTION("""COMPUTED_VALUE"""),76488.96)</f>
        <v>76488.96</v>
      </c>
      <c r="N7" s="6">
        <f>IFERROR(__xludf.DUMMYFUNCTION("""COMPUTED_VALUE"""),76009.7)</f>
        <v>76009.7</v>
      </c>
      <c r="O7" s="6">
        <f>IFERROR(__xludf.DUMMYFUNCTION("""COMPUTED_VALUE"""),75867.8)</f>
        <v>75867.8</v>
      </c>
      <c r="P7" s="6">
        <f>IFERROR(__xludf.DUMMYFUNCTION("""COMPUTED_VALUE"""),74775.74)</f>
        <v>74775.74</v>
      </c>
      <c r="Q7" s="6">
        <f>IFERROR(__xludf.DUMMYFUNCTION("""COMPUTED_VALUE"""),74267.34)</f>
        <v>74267.34</v>
      </c>
      <c r="R7" s="6">
        <f>IFERROR(__xludf.DUMMYFUNCTION("""COMPUTED_VALUE"""),74649.84)</f>
        <v>74649.84</v>
      </c>
      <c r="S7" s="6">
        <f>IFERROR(__xludf.DUMMYFUNCTION("""COMPUTED_VALUE"""),74346.17)</f>
        <v>74346.17</v>
      </c>
      <c r="T7" s="6">
        <f>IFERROR(__xludf.DUMMYFUNCTION("""COMPUTED_VALUE"""),74360.01)</f>
        <v>74360.01</v>
      </c>
      <c r="U7" s="6">
        <f>IFERROR(__xludf.DUMMYFUNCTION("""COMPUTED_VALUE"""),74243.34)</f>
        <v>74243.34</v>
      </c>
      <c r="V7" s="6">
        <f>IFERROR(__xludf.DUMMYFUNCTION("""COMPUTED_VALUE"""),73524.26)</f>
        <v>73524.26</v>
      </c>
      <c r="W7" s="6">
        <f>IFERROR(__xludf.DUMMYFUNCTION("""COMPUTED_VALUE"""),73918.76)</f>
        <v>73918.76</v>
      </c>
      <c r="X7" s="6">
        <f>IFERROR(__xludf.DUMMYFUNCTION("""COMPUTED_VALUE"""),73983.18)</f>
        <v>73983.18</v>
      </c>
      <c r="Y7" s="6">
        <f>IFERROR(__xludf.DUMMYFUNCTION("""COMPUTED_VALUE"""),73832.55)</f>
        <v>73832.55</v>
      </c>
      <c r="Z7" s="6">
        <f>IFERROR(__xludf.DUMMYFUNCTION("""COMPUTED_VALUE"""),75527.95)</f>
        <v>75527.95</v>
      </c>
      <c r="AA7" s="6">
        <f>IFERROR(__xludf.DUMMYFUNCTION("""COMPUTED_VALUE"""),76264.33)</f>
        <v>76264.33</v>
      </c>
      <c r="AB7" s="6">
        <f>IFERROR(__xludf.DUMMYFUNCTION("""COMPUTED_VALUE"""),76808.48)</f>
        <v>76808.48</v>
      </c>
      <c r="AC7" s="6">
        <f>IFERROR(__xludf.DUMMYFUNCTION("""COMPUTED_VALUE"""),77155.62)</f>
        <v>77155.62</v>
      </c>
      <c r="AD7" s="6">
        <f>IFERROR(__xludf.DUMMYFUNCTION("""COMPUTED_VALUE"""),77409.98)</f>
        <v>77409.98</v>
      </c>
      <c r="AE7" s="6">
        <f>IFERROR(__xludf.DUMMYFUNCTION("""COMPUTED_VALUE"""),76802.9)</f>
        <v>76802.9</v>
      </c>
      <c r="AF7" s="6">
        <f>IFERROR(__xludf.DUMMYFUNCTION("""COMPUTED_VALUE"""),76802.9)</f>
        <v>76802.9</v>
      </c>
      <c r="AG7" s="6">
        <f t="shared" ref="AG7:BF7" si="7">F7/F$2</f>
        <v>3.182777252</v>
      </c>
      <c r="AH7" s="6">
        <f t="shared" si="7"/>
        <v>3.182184956</v>
      </c>
      <c r="AI7" s="6">
        <f t="shared" si="7"/>
        <v>3.18457502</v>
      </c>
      <c r="AJ7" s="6">
        <f t="shared" si="7"/>
        <v>3.184048184</v>
      </c>
      <c r="AK7" s="6">
        <f t="shared" si="7"/>
        <v>3.183498457</v>
      </c>
      <c r="AL7" s="6">
        <f t="shared" si="7"/>
        <v>3.178368781</v>
      </c>
      <c r="AM7" s="6">
        <f t="shared" si="7"/>
        <v>3.179493071</v>
      </c>
      <c r="AN7" s="6">
        <f t="shared" si="7"/>
        <v>3.182836004</v>
      </c>
      <c r="AO7" s="6">
        <f t="shared" si="7"/>
        <v>3.17850019</v>
      </c>
      <c r="AP7" s="6">
        <f t="shared" si="7"/>
        <v>3.173435562</v>
      </c>
      <c r="AQ7" s="6">
        <f t="shared" si="7"/>
        <v>3.175494049</v>
      </c>
      <c r="AR7" s="6">
        <f t="shared" si="7"/>
        <v>3.176179723</v>
      </c>
      <c r="AS7" s="6">
        <f t="shared" si="7"/>
        <v>3.178814106</v>
      </c>
      <c r="AT7" s="6">
        <f t="shared" si="7"/>
        <v>3.176426582</v>
      </c>
      <c r="AU7" s="6">
        <f t="shared" si="7"/>
        <v>3.175532262</v>
      </c>
      <c r="AV7" s="6">
        <f t="shared" si="7"/>
        <v>3.17731387</v>
      </c>
      <c r="AW7" s="6">
        <f t="shared" si="7"/>
        <v>3.179702461</v>
      </c>
      <c r="AX7" s="6">
        <f t="shared" si="7"/>
        <v>3.180382151</v>
      </c>
      <c r="AY7" s="6">
        <f t="shared" si="7"/>
        <v>3.18687656</v>
      </c>
      <c r="AZ7" s="6">
        <f t="shared" si="7"/>
        <v>3.187713716</v>
      </c>
      <c r="BA7" s="6">
        <f t="shared" si="7"/>
        <v>3.197234463</v>
      </c>
      <c r="BB7" s="6">
        <f t="shared" si="7"/>
        <v>3.197143025</v>
      </c>
      <c r="BC7" s="6">
        <f t="shared" si="7"/>
        <v>3.201800814</v>
      </c>
      <c r="BD7" s="6">
        <f t="shared" si="7"/>
        <v>3.203378768</v>
      </c>
      <c r="BE7" s="6">
        <f t="shared" si="7"/>
        <v>3.202994869</v>
      </c>
      <c r="BF7" s="6">
        <f t="shared" si="7"/>
        <v>3.198375054</v>
      </c>
    </row>
    <row r="8">
      <c r="A8" s="1"/>
      <c r="B8" s="6"/>
      <c r="C8" s="5">
        <f t="shared" si="3"/>
        <v>1</v>
      </c>
      <c r="D8" s="1" t="s">
        <v>10</v>
      </c>
      <c r="E8" s="6" t="str">
        <f>IFERROR(__xludf.DUMMYFUNCTION("GOOGLEFINANCE(D8, ""name"")
"),"NIFTY 500")</f>
        <v>NIFTY 500</v>
      </c>
      <c r="F8" s="6">
        <f>IFERROR(__xludf.DUMMYFUNCTION("{TRANSPOSE(QUERY(GOOGLEFINANCE(D8, ""close"", WORKDAY(TODAY(), -27), TODAY()-1), ""SELECT Col2 OFFSET 1"", 0)), GOOGLEFINANCE(D8, ""price"")}"),22613.1)</f>
        <v>22613.1</v>
      </c>
      <c r="G8" s="6">
        <f>IFERROR(__xludf.DUMMYFUNCTION("""COMPUTED_VALUE"""),22531.15)</f>
        <v>22531.15</v>
      </c>
      <c r="H8" s="6">
        <f>IFERROR(__xludf.DUMMYFUNCTION("""COMPUTED_VALUE"""),22461.05)</f>
        <v>22461.05</v>
      </c>
      <c r="I8" s="6">
        <f>IFERROR(__xludf.DUMMYFUNCTION("""COMPUTED_VALUE"""),22521.75)</f>
        <v>22521.75</v>
      </c>
      <c r="J8" s="6">
        <f>IFERROR(__xludf.DUMMYFUNCTION("""COMPUTED_VALUE"""),22578.15)</f>
        <v>22578.15</v>
      </c>
      <c r="K8" s="6">
        <f>IFERROR(__xludf.DUMMYFUNCTION("""COMPUTED_VALUE"""),22602.85)</f>
        <v>22602.85</v>
      </c>
      <c r="L8" s="6">
        <f>IFERROR(__xludf.DUMMYFUNCTION("""COMPUTED_VALUE"""),22651.3)</f>
        <v>22651.3</v>
      </c>
      <c r="M8" s="6">
        <f>IFERROR(__xludf.DUMMYFUNCTION("""COMPUTED_VALUE"""),22929.45)</f>
        <v>22929.45</v>
      </c>
      <c r="N8" s="6">
        <f>IFERROR(__xludf.DUMMYFUNCTION("""COMPUTED_VALUE"""),22897.2)</f>
        <v>22897.2</v>
      </c>
      <c r="O8" s="6">
        <f>IFERROR(__xludf.DUMMYFUNCTION("""COMPUTED_VALUE"""),22967.4)</f>
        <v>22967.4</v>
      </c>
      <c r="P8" s="6">
        <f>IFERROR(__xludf.DUMMYFUNCTION("""COMPUTED_VALUE"""),22657.0)</f>
        <v>22657</v>
      </c>
      <c r="Q8" s="6">
        <f>IFERROR(__xludf.DUMMYFUNCTION("""COMPUTED_VALUE"""),22437.95)</f>
        <v>22437.95</v>
      </c>
      <c r="R8" s="6">
        <f>IFERROR(__xludf.DUMMYFUNCTION("""COMPUTED_VALUE"""),22521.1)</f>
        <v>22521.1</v>
      </c>
      <c r="S8" s="6">
        <f>IFERROR(__xludf.DUMMYFUNCTION("""COMPUTED_VALUE"""),22451.85)</f>
        <v>22451.85</v>
      </c>
      <c r="T8" s="6">
        <f>IFERROR(__xludf.DUMMYFUNCTION("""COMPUTED_VALUE"""),22497.7)</f>
        <v>22497.7</v>
      </c>
      <c r="U8" s="6">
        <f>IFERROR(__xludf.DUMMYFUNCTION("""COMPUTED_VALUE"""),22465.35)</f>
        <v>22465.35</v>
      </c>
      <c r="V8" s="6">
        <f>IFERROR(__xludf.DUMMYFUNCTION("""COMPUTED_VALUE"""),22173.7)</f>
        <v>22173.7</v>
      </c>
      <c r="W8" s="6">
        <f>IFERROR(__xludf.DUMMYFUNCTION("""COMPUTED_VALUE"""),22370.15)</f>
        <v>22370.15</v>
      </c>
      <c r="X8" s="6">
        <f>IFERROR(__xludf.DUMMYFUNCTION("""COMPUTED_VALUE"""),22233.85)</f>
        <v>22233.85</v>
      </c>
      <c r="Y8" s="6">
        <f>IFERROR(__xludf.DUMMYFUNCTION("""COMPUTED_VALUE"""),22114.45)</f>
        <v>22114.45</v>
      </c>
      <c r="Z8" s="6">
        <f>IFERROR(__xludf.DUMMYFUNCTION("""COMPUTED_VALUE"""),22599.8)</f>
        <v>22599.8</v>
      </c>
      <c r="AA8" s="6">
        <f>IFERROR(__xludf.DUMMYFUNCTION("""COMPUTED_VALUE"""),22891.3)</f>
        <v>22891.3</v>
      </c>
      <c r="AB8" s="6">
        <f>IFERROR(__xludf.DUMMYFUNCTION("""COMPUTED_VALUE"""),22997.25)</f>
        <v>22997.25</v>
      </c>
      <c r="AC8" s="6">
        <f>IFERROR(__xludf.DUMMYFUNCTION("""COMPUTED_VALUE"""),23109.7)</f>
        <v>23109.7</v>
      </c>
      <c r="AD8" s="6">
        <f>IFERROR(__xludf.DUMMYFUNCTION("""COMPUTED_VALUE"""),23206.45)</f>
        <v>23206.45</v>
      </c>
      <c r="AE8" s="6">
        <f>IFERROR(__xludf.DUMMYFUNCTION("""COMPUTED_VALUE"""),23144.2)</f>
        <v>23144.2</v>
      </c>
      <c r="AF8" s="6">
        <f>IFERROR(__xludf.DUMMYFUNCTION("""COMPUTED_VALUE"""),23144.2)</f>
        <v>23144.2</v>
      </c>
      <c r="AG8" s="6">
        <f t="shared" ref="AG8:BF8" si="8">F8/F$2</f>
        <v>0.9545581183</v>
      </c>
      <c r="AH8" s="6">
        <f t="shared" si="8"/>
        <v>0.952953243</v>
      </c>
      <c r="AI8" s="6">
        <f t="shared" si="8"/>
        <v>0.9497292806</v>
      </c>
      <c r="AJ8" s="6">
        <f t="shared" si="8"/>
        <v>0.9535841307</v>
      </c>
      <c r="AK8" s="6">
        <f t="shared" si="8"/>
        <v>0.9543154825</v>
      </c>
      <c r="AL8" s="6">
        <f t="shared" si="8"/>
        <v>0.9555331499</v>
      </c>
      <c r="AM8" s="6">
        <f t="shared" si="8"/>
        <v>0.9549733761</v>
      </c>
      <c r="AN8" s="6">
        <f t="shared" si="8"/>
        <v>0.9541334987</v>
      </c>
      <c r="AO8" s="6">
        <f t="shared" si="8"/>
        <v>0.9574929852</v>
      </c>
      <c r="AP8" s="6">
        <f t="shared" si="8"/>
        <v>0.9606916759</v>
      </c>
      <c r="AQ8" s="6">
        <f t="shared" si="8"/>
        <v>0.9621726067</v>
      </c>
      <c r="AR8" s="6">
        <f t="shared" si="8"/>
        <v>0.9596003011</v>
      </c>
      <c r="AS8" s="6">
        <f t="shared" si="8"/>
        <v>0.959015992</v>
      </c>
      <c r="AT8" s="6">
        <f t="shared" si="8"/>
        <v>0.9592512048</v>
      </c>
      <c r="AU8" s="6">
        <f t="shared" si="8"/>
        <v>0.9607606586</v>
      </c>
      <c r="AV8" s="6">
        <f t="shared" si="8"/>
        <v>0.9614258753</v>
      </c>
      <c r="AW8" s="6">
        <f t="shared" si="8"/>
        <v>0.9589456385</v>
      </c>
      <c r="AX8" s="6">
        <f t="shared" si="8"/>
        <v>0.9624840268</v>
      </c>
      <c r="AY8" s="6">
        <f t="shared" si="8"/>
        <v>0.9577384401</v>
      </c>
      <c r="AZ8" s="6">
        <f t="shared" si="8"/>
        <v>0.9547893928</v>
      </c>
      <c r="BA8" s="6">
        <f t="shared" si="8"/>
        <v>0.9566903301</v>
      </c>
      <c r="BB8" s="6">
        <f t="shared" si="8"/>
        <v>0.9596460118</v>
      </c>
      <c r="BC8" s="6">
        <f t="shared" si="8"/>
        <v>0.9586521407</v>
      </c>
      <c r="BD8" s="6">
        <f t="shared" si="8"/>
        <v>0.9594780305</v>
      </c>
      <c r="BE8" s="6">
        <f t="shared" si="8"/>
        <v>0.9602139192</v>
      </c>
      <c r="BF8" s="6">
        <f t="shared" si="8"/>
        <v>0.963815584</v>
      </c>
    </row>
    <row r="9">
      <c r="A9" s="1" t="s">
        <v>11</v>
      </c>
      <c r="C9" s="5"/>
      <c r="D9" s="1"/>
      <c r="F9" s="6" t="str">
        <f>IFERROR(__xludf.DUMMYFUNCTION("{TRANSPOSE(QUERY(GOOGLEFINANCE(D9, ""close"", WORKDAY(TODAY(), -27), TODAY()-1), ""SELECT Col2 OFFSET 1"", 0)), GOOGLEFINANCE(D9, ""price"")}"),"#N/A")</f>
        <v>#N/A</v>
      </c>
      <c r="G9" s="6" t="str">
        <f>IFERROR(__xludf.DUMMYFUNCTION("""COMPUTED_VALUE"""),"#N/A")</f>
        <v>#N/A</v>
      </c>
      <c r="AG9" s="6" t="str">
        <f t="shared" ref="AG9:BF9" si="9">F9/F$2</f>
        <v>#N/A</v>
      </c>
      <c r="AH9" s="6" t="str">
        <f t="shared" si="9"/>
        <v>#N/A</v>
      </c>
      <c r="AI9" s="6">
        <f t="shared" si="9"/>
        <v>0</v>
      </c>
      <c r="AJ9" s="6">
        <f t="shared" si="9"/>
        <v>0</v>
      </c>
      <c r="AK9" s="6">
        <f t="shared" si="9"/>
        <v>0</v>
      </c>
      <c r="AL9" s="6">
        <f t="shared" si="9"/>
        <v>0</v>
      </c>
      <c r="AM9" s="6">
        <f t="shared" si="9"/>
        <v>0</v>
      </c>
      <c r="AN9" s="6">
        <f t="shared" si="9"/>
        <v>0</v>
      </c>
      <c r="AO9" s="6">
        <f t="shared" si="9"/>
        <v>0</v>
      </c>
      <c r="AP9" s="6">
        <f t="shared" si="9"/>
        <v>0</v>
      </c>
      <c r="AQ9" s="6">
        <f t="shared" si="9"/>
        <v>0</v>
      </c>
      <c r="AR9" s="6">
        <f t="shared" si="9"/>
        <v>0</v>
      </c>
      <c r="AS9" s="6">
        <f t="shared" si="9"/>
        <v>0</v>
      </c>
      <c r="AT9" s="6">
        <f t="shared" si="9"/>
        <v>0</v>
      </c>
      <c r="AU9" s="6">
        <f t="shared" si="9"/>
        <v>0</v>
      </c>
      <c r="AV9" s="6">
        <f t="shared" si="9"/>
        <v>0</v>
      </c>
      <c r="AW9" s="6">
        <f t="shared" si="9"/>
        <v>0</v>
      </c>
      <c r="AX9" s="6">
        <f t="shared" si="9"/>
        <v>0</v>
      </c>
      <c r="AY9" s="6">
        <f t="shared" si="9"/>
        <v>0</v>
      </c>
      <c r="AZ9" s="6">
        <f t="shared" si="9"/>
        <v>0</v>
      </c>
      <c r="BA9" s="6">
        <f t="shared" si="9"/>
        <v>0</v>
      </c>
      <c r="BB9" s="6">
        <f t="shared" si="9"/>
        <v>0</v>
      </c>
      <c r="BC9" s="6">
        <f t="shared" si="9"/>
        <v>0</v>
      </c>
      <c r="BD9" s="6">
        <f t="shared" si="9"/>
        <v>0</v>
      </c>
      <c r="BE9" s="6">
        <f t="shared" si="9"/>
        <v>0</v>
      </c>
      <c r="BF9" s="6">
        <f t="shared" si="9"/>
        <v>0</v>
      </c>
    </row>
    <row r="10">
      <c r="A10" s="1" t="s">
        <v>12</v>
      </c>
      <c r="B10" s="6"/>
      <c r="C10" s="5">
        <f t="shared" ref="C10:C39" si="11">PERCENTRANK(AG10:BF10,BF10)</f>
        <v>0</v>
      </c>
      <c r="D10" s="1" t="s">
        <v>11</v>
      </c>
      <c r="E10" s="6" t="str">
        <f>IFERROR(__xludf.DUMMYFUNCTION("GOOGLEFINANCE(D10, ""name"")
"),"Nifty IT")</f>
        <v>Nifty IT</v>
      </c>
      <c r="F10" s="6">
        <f>IFERROR(__xludf.DUMMYFUNCTION("{TRANSPOSE(QUERY(GOOGLEFINANCE(D10, ""close"", WORKDAY(TODAY(), -27), TODAY()-1), ""SELECT Col2 OFFSET 1"", 0)), GOOGLEFINANCE(D10, ""price"")}"),27360.35)</f>
        <v>27360.35</v>
      </c>
      <c r="G10" s="6">
        <f>IFERROR(__xludf.DUMMYFUNCTION("""COMPUTED_VALUE"""),27716.9)</f>
        <v>27716.9</v>
      </c>
      <c r="H10" s="6">
        <f>IFERROR(__xludf.DUMMYFUNCTION("""COMPUTED_VALUE"""),28389.8)</f>
        <v>28389.8</v>
      </c>
      <c r="I10" s="6">
        <f>IFERROR(__xludf.DUMMYFUNCTION("""COMPUTED_VALUE"""),29308.0)</f>
        <v>29308</v>
      </c>
      <c r="J10" s="6">
        <f>IFERROR(__xludf.DUMMYFUNCTION("""COMPUTED_VALUE"""),29185.15)</f>
        <v>29185.15</v>
      </c>
      <c r="K10" s="6">
        <f>IFERROR(__xludf.DUMMYFUNCTION("""COMPUTED_VALUE"""),29021.1)</f>
        <v>29021.1</v>
      </c>
      <c r="L10" s="6">
        <f>IFERROR(__xludf.DUMMYFUNCTION("""COMPUTED_VALUE"""),28912.5)</f>
        <v>28912.5</v>
      </c>
      <c r="M10" s="6">
        <f>IFERROR(__xludf.DUMMYFUNCTION("""COMPUTED_VALUE"""),28979.85)</f>
        <v>28979.85</v>
      </c>
      <c r="N10" s="6">
        <f>IFERROR(__xludf.DUMMYFUNCTION("""COMPUTED_VALUE"""),28978.5)</f>
        <v>28978.5</v>
      </c>
      <c r="O10" s="6">
        <f>IFERROR(__xludf.DUMMYFUNCTION("""COMPUTED_VALUE"""),28906.7)</f>
        <v>28906.7</v>
      </c>
      <c r="P10" s="6">
        <f>IFERROR(__xludf.DUMMYFUNCTION("""COMPUTED_VALUE"""),29080.15)</f>
        <v>29080.15</v>
      </c>
      <c r="Q10" s="6">
        <f>IFERROR(__xludf.DUMMYFUNCTION("""COMPUTED_VALUE"""),29854.25)</f>
        <v>29854.25</v>
      </c>
      <c r="R10" s="6">
        <f>IFERROR(__xludf.DUMMYFUNCTION("""COMPUTED_VALUE"""),31116.55)</f>
        <v>31116.55</v>
      </c>
      <c r="S10" s="6">
        <f>IFERROR(__xludf.DUMMYFUNCTION("""COMPUTED_VALUE"""),29384.45)</f>
        <v>29384.45</v>
      </c>
      <c r="T10" s="6">
        <f>IFERROR(__xludf.DUMMYFUNCTION("""COMPUTED_VALUE"""),29300.6)</f>
        <v>29300.6</v>
      </c>
      <c r="U10" s="6">
        <f>IFERROR(__xludf.DUMMYFUNCTION("""COMPUTED_VALUE"""),29010.3)</f>
        <v>29010.3</v>
      </c>
      <c r="V10" s="6">
        <f>IFERROR(__xludf.DUMMYFUNCTION("""COMPUTED_VALUE"""),28653.55)</f>
        <v>28653.55</v>
      </c>
      <c r="W10" s="6">
        <f>IFERROR(__xludf.DUMMYFUNCTION("""COMPUTED_VALUE"""),28516.25)</f>
        <v>28516.25</v>
      </c>
      <c r="X10" s="6">
        <f>IFERROR(__xludf.DUMMYFUNCTION("""COMPUTED_VALUE"""),28279.95)</f>
        <v>28279.95</v>
      </c>
      <c r="Y10" s="6">
        <f>IFERROR(__xludf.DUMMYFUNCTION("""COMPUTED_VALUE"""),27821.05)</f>
        <v>27821.05</v>
      </c>
      <c r="Z10" s="6">
        <f>IFERROR(__xludf.DUMMYFUNCTION("""COMPUTED_VALUE"""),27795.75)</f>
        <v>27795.75</v>
      </c>
      <c r="AA10" s="6">
        <f>IFERROR(__xludf.DUMMYFUNCTION("""COMPUTED_VALUE"""),28067.9)</f>
        <v>28067.9</v>
      </c>
      <c r="AB10" s="6">
        <f>IFERROR(__xludf.DUMMYFUNCTION("""COMPUTED_VALUE"""),28568.1)</f>
        <v>28568.1</v>
      </c>
      <c r="AC10" s="6">
        <f>IFERROR(__xludf.DUMMYFUNCTION("""COMPUTED_VALUE"""),28809.55)</f>
        <v>28809.55</v>
      </c>
      <c r="AD10" s="6">
        <f>IFERROR(__xludf.DUMMYFUNCTION("""COMPUTED_VALUE"""),28466.45)</f>
        <v>28466.45</v>
      </c>
      <c r="AE10" s="6">
        <f>IFERROR(__xludf.DUMMYFUNCTION("""COMPUTED_VALUE"""),27426.85)</f>
        <v>27426.85</v>
      </c>
      <c r="AF10" s="6">
        <f>IFERROR(__xludf.DUMMYFUNCTION("""COMPUTED_VALUE"""),27426.85)</f>
        <v>27426.85</v>
      </c>
      <c r="AG10" s="6">
        <f t="shared" ref="AG10:BF10" si="10">F10/F$2</f>
        <v>1.154951962</v>
      </c>
      <c r="AH10" s="6">
        <f t="shared" si="10"/>
        <v>1.172284137</v>
      </c>
      <c r="AI10" s="6">
        <f t="shared" si="10"/>
        <v>1.200416914</v>
      </c>
      <c r="AJ10" s="6">
        <f t="shared" si="10"/>
        <v>1.240917944</v>
      </c>
      <c r="AK10" s="6">
        <f t="shared" si="10"/>
        <v>1.233574961</v>
      </c>
      <c r="AL10" s="6">
        <f t="shared" si="10"/>
        <v>1.226864006</v>
      </c>
      <c r="AM10" s="6">
        <f t="shared" si="10"/>
        <v>1.218944067</v>
      </c>
      <c r="AN10" s="6">
        <f t="shared" si="10"/>
        <v>1.205900956</v>
      </c>
      <c r="AO10" s="6">
        <f t="shared" si="10"/>
        <v>1.211794913</v>
      </c>
      <c r="AP10" s="6">
        <f t="shared" si="10"/>
        <v>1.20912363</v>
      </c>
      <c r="AQ10" s="6">
        <f t="shared" si="10"/>
        <v>1.234943891</v>
      </c>
      <c r="AR10" s="6">
        <f t="shared" si="10"/>
        <v>1.276772044</v>
      </c>
      <c r="AS10" s="6">
        <f t="shared" si="10"/>
        <v>1.325036036</v>
      </c>
      <c r="AT10" s="6">
        <f t="shared" si="10"/>
        <v>1.255445278</v>
      </c>
      <c r="AU10" s="6">
        <f t="shared" si="10"/>
        <v>1.251277408</v>
      </c>
      <c r="AV10" s="6">
        <f t="shared" si="10"/>
        <v>1.241523193</v>
      </c>
      <c r="AW10" s="6">
        <f t="shared" si="10"/>
        <v>1.239179605</v>
      </c>
      <c r="AX10" s="6">
        <f t="shared" si="10"/>
        <v>1.226922266</v>
      </c>
      <c r="AY10" s="6">
        <f t="shared" si="10"/>
        <v>1.218178372</v>
      </c>
      <c r="AZ10" s="6">
        <f t="shared" si="10"/>
        <v>1.201171335</v>
      </c>
      <c r="BA10" s="6">
        <f t="shared" si="10"/>
        <v>1.176644273</v>
      </c>
      <c r="BB10" s="6">
        <f t="shared" si="10"/>
        <v>1.176658743</v>
      </c>
      <c r="BC10" s="6">
        <f t="shared" si="10"/>
        <v>1.190875875</v>
      </c>
      <c r="BD10" s="6">
        <f t="shared" si="10"/>
        <v>1.196126747</v>
      </c>
      <c r="BE10" s="6">
        <f t="shared" si="10"/>
        <v>1.177857084</v>
      </c>
      <c r="BF10" s="6">
        <f t="shared" si="10"/>
        <v>1.142161987</v>
      </c>
    </row>
    <row r="11">
      <c r="A11" s="1" t="s">
        <v>13</v>
      </c>
      <c r="B11" s="6"/>
      <c r="C11" s="5">
        <f t="shared" si="11"/>
        <v>0.24</v>
      </c>
      <c r="D11" s="1" t="s">
        <v>12</v>
      </c>
      <c r="E11" s="6" t="str">
        <f>IFERROR(__xludf.DUMMYFUNCTION("GOOGLEFINANCE(D11, ""name"")
"),"Nifty FMCG")</f>
        <v>Nifty FMCG</v>
      </c>
      <c r="F11" s="6">
        <f>IFERROR(__xludf.DUMMYFUNCTION("{TRANSPOSE(QUERY(GOOGLEFINANCE(D11, ""close"", WORKDAY(TODAY(), -27), TODAY()-1), ""SELECT Col2 OFFSET 1"", 0)), GOOGLEFINANCE(D11, ""price"")}"),50779.15)</f>
        <v>50779.15</v>
      </c>
      <c r="G11" s="6">
        <f>IFERROR(__xludf.DUMMYFUNCTION("""COMPUTED_VALUE"""),51051.35)</f>
        <v>51051.35</v>
      </c>
      <c r="H11" s="6">
        <f>IFERROR(__xludf.DUMMYFUNCTION("""COMPUTED_VALUE"""),50900.1)</f>
        <v>50900.1</v>
      </c>
      <c r="I11" s="6">
        <f>IFERROR(__xludf.DUMMYFUNCTION("""COMPUTED_VALUE"""),50883.35)</f>
        <v>50883.35</v>
      </c>
      <c r="J11" s="6">
        <f>IFERROR(__xludf.DUMMYFUNCTION("""COMPUTED_VALUE"""),50520.55)</f>
        <v>50520.55</v>
      </c>
      <c r="K11" s="6">
        <f>IFERROR(__xludf.DUMMYFUNCTION("""COMPUTED_VALUE"""),50263.55)</f>
        <v>50263.55</v>
      </c>
      <c r="L11" s="6">
        <f>IFERROR(__xludf.DUMMYFUNCTION("""COMPUTED_VALUE"""),50249.8)</f>
        <v>50249.8</v>
      </c>
      <c r="M11" s="6">
        <f>IFERROR(__xludf.DUMMYFUNCTION("""COMPUTED_VALUE"""),50157.75)</f>
        <v>50157.75</v>
      </c>
      <c r="N11" s="6">
        <f>IFERROR(__xludf.DUMMYFUNCTION("""COMPUTED_VALUE"""),50227.35)</f>
        <v>50227.35</v>
      </c>
      <c r="O11" s="6">
        <f>IFERROR(__xludf.DUMMYFUNCTION("""COMPUTED_VALUE"""),50141.9)</f>
        <v>50141.9</v>
      </c>
      <c r="P11" s="6">
        <f>IFERROR(__xludf.DUMMYFUNCTION("""COMPUTED_VALUE"""),49383.35)</f>
        <v>49383.35</v>
      </c>
      <c r="Q11" s="6">
        <f>IFERROR(__xludf.DUMMYFUNCTION("""COMPUTED_VALUE"""),48247.7)</f>
        <v>48247.7</v>
      </c>
      <c r="R11" s="6">
        <f>IFERROR(__xludf.DUMMYFUNCTION("""COMPUTED_VALUE"""),48612.8)</f>
        <v>48612.8</v>
      </c>
      <c r="S11" s="6">
        <f>IFERROR(__xludf.DUMMYFUNCTION("""COMPUTED_VALUE"""),48123.95)</f>
        <v>48123.95</v>
      </c>
      <c r="T11" s="6">
        <f>IFERROR(__xludf.DUMMYFUNCTION("""COMPUTED_VALUE"""),48216.0)</f>
        <v>48216</v>
      </c>
      <c r="U11" s="6">
        <f>IFERROR(__xludf.DUMMYFUNCTION("""COMPUTED_VALUE"""),48302.45)</f>
        <v>48302.45</v>
      </c>
      <c r="V11" s="6">
        <f>IFERROR(__xludf.DUMMYFUNCTION("""COMPUTED_VALUE"""),48098.65)</f>
        <v>48098.65</v>
      </c>
      <c r="W11" s="6">
        <f>IFERROR(__xludf.DUMMYFUNCTION("""COMPUTED_VALUE"""),48447.4)</f>
        <v>48447.4</v>
      </c>
      <c r="X11" s="6">
        <f>IFERROR(__xludf.DUMMYFUNCTION("""COMPUTED_VALUE"""),48957.0)</f>
        <v>48957</v>
      </c>
      <c r="Y11" s="6">
        <f>IFERROR(__xludf.DUMMYFUNCTION("""COMPUTED_VALUE"""),48521.8)</f>
        <v>48521.8</v>
      </c>
      <c r="Z11" s="6">
        <f>IFERROR(__xludf.DUMMYFUNCTION("""COMPUTED_VALUE"""),48827.6)</f>
        <v>48827.6</v>
      </c>
      <c r="AA11" s="6">
        <f>IFERROR(__xludf.DUMMYFUNCTION("""COMPUTED_VALUE"""),49043.4)</f>
        <v>49043.4</v>
      </c>
      <c r="AB11" s="6">
        <f>IFERROR(__xludf.DUMMYFUNCTION("""COMPUTED_VALUE"""),49642.4)</f>
        <v>49642.4</v>
      </c>
      <c r="AC11" s="6">
        <f>IFERROR(__xludf.DUMMYFUNCTION("""COMPUTED_VALUE"""),49556.05)</f>
        <v>49556.05</v>
      </c>
      <c r="AD11" s="6">
        <f>IFERROR(__xludf.DUMMYFUNCTION("""COMPUTED_VALUE"""),49654.5)</f>
        <v>49654.5</v>
      </c>
      <c r="AE11" s="6">
        <f>IFERROR(__xludf.DUMMYFUNCTION("""COMPUTED_VALUE"""),49558.7)</f>
        <v>49558.7</v>
      </c>
      <c r="AF11" s="6">
        <f>IFERROR(__xludf.DUMMYFUNCTION("""COMPUTED_VALUE"""),49558.7)</f>
        <v>49558.7</v>
      </c>
      <c r="AG11" s="6">
        <f t="shared" ref="AG11:BF11" si="12">F11/F$2</f>
        <v>2.143520785</v>
      </c>
      <c r="AH11" s="6">
        <f t="shared" si="12"/>
        <v>2.159212891</v>
      </c>
      <c r="AI11" s="6">
        <f t="shared" si="12"/>
        <v>2.152228652</v>
      </c>
      <c r="AJ11" s="6">
        <f t="shared" si="12"/>
        <v>2.154430943</v>
      </c>
      <c r="AK11" s="6">
        <f t="shared" si="12"/>
        <v>2.135362864</v>
      </c>
      <c r="AL11" s="6">
        <f t="shared" si="12"/>
        <v>2.124886386</v>
      </c>
      <c r="AM11" s="6">
        <f t="shared" si="12"/>
        <v>2.118519518</v>
      </c>
      <c r="AN11" s="6">
        <f t="shared" si="12"/>
        <v>2.087149473</v>
      </c>
      <c r="AO11" s="6">
        <f t="shared" si="12"/>
        <v>2.10035879</v>
      </c>
      <c r="AP11" s="6">
        <f t="shared" si="12"/>
        <v>2.097359995</v>
      </c>
      <c r="AQ11" s="6">
        <f t="shared" si="12"/>
        <v>2.097157903</v>
      </c>
      <c r="AR11" s="6">
        <f t="shared" si="12"/>
        <v>2.063401846</v>
      </c>
      <c r="AS11" s="6">
        <f t="shared" si="12"/>
        <v>2.070078842</v>
      </c>
      <c r="AT11" s="6">
        <f t="shared" si="12"/>
        <v>2.056087005</v>
      </c>
      <c r="AU11" s="6">
        <f t="shared" si="12"/>
        <v>2.059056522</v>
      </c>
      <c r="AV11" s="6">
        <f t="shared" si="12"/>
        <v>2.067148977</v>
      </c>
      <c r="AW11" s="6">
        <f t="shared" si="12"/>
        <v>2.080121524</v>
      </c>
      <c r="AX11" s="6">
        <f t="shared" si="12"/>
        <v>2.08446741</v>
      </c>
      <c r="AY11" s="6">
        <f t="shared" si="12"/>
        <v>2.108856577</v>
      </c>
      <c r="AZ11" s="6">
        <f t="shared" si="12"/>
        <v>2.094924358</v>
      </c>
      <c r="BA11" s="6">
        <f t="shared" si="12"/>
        <v>2.066960449</v>
      </c>
      <c r="BB11" s="6">
        <f t="shared" si="12"/>
        <v>2.055990844</v>
      </c>
      <c r="BC11" s="6">
        <f t="shared" si="12"/>
        <v>2.069368861</v>
      </c>
      <c r="BD11" s="6">
        <f t="shared" si="12"/>
        <v>2.057488468</v>
      </c>
      <c r="BE11" s="6">
        <f t="shared" si="12"/>
        <v>2.054555611</v>
      </c>
      <c r="BF11" s="6">
        <f t="shared" si="12"/>
        <v>2.063819332</v>
      </c>
    </row>
    <row r="12">
      <c r="A12" s="1" t="s">
        <v>14</v>
      </c>
      <c r="B12" s="6"/>
      <c r="C12" s="5">
        <f t="shared" si="11"/>
        <v>0.12</v>
      </c>
      <c r="D12" s="1" t="s">
        <v>13</v>
      </c>
      <c r="E12" s="6" t="str">
        <f>IFERROR(__xludf.DUMMYFUNCTION("GOOGLEFINANCE(D12, ""name"")
"),"Nifty Metal")</f>
        <v>Nifty Metal</v>
      </c>
      <c r="F12" s="6">
        <f>IFERROR(__xludf.DUMMYFUNCTION("{TRANSPOSE(QUERY(GOOGLEFINANCE(D12, ""close"", WORKDAY(TODAY(), -27), TODAY()-1), ""SELECT Col2 OFFSET 1"", 0)), GOOGLEFINANCE(D12, ""price"")}"),13562.25)</f>
        <v>13562.25</v>
      </c>
      <c r="G12" s="6">
        <f>IFERROR(__xludf.DUMMYFUNCTION("""COMPUTED_VALUE"""),13300.6)</f>
        <v>13300.6</v>
      </c>
      <c r="H12" s="6">
        <f>IFERROR(__xludf.DUMMYFUNCTION("""COMPUTED_VALUE"""),13169.95)</f>
        <v>13169.95</v>
      </c>
      <c r="I12" s="6">
        <f>IFERROR(__xludf.DUMMYFUNCTION("""COMPUTED_VALUE"""),13163.75)</f>
        <v>13163.75</v>
      </c>
      <c r="J12" s="6">
        <f>IFERROR(__xludf.DUMMYFUNCTION("""COMPUTED_VALUE"""),13186.5)</f>
        <v>13186.5</v>
      </c>
      <c r="K12" s="6">
        <f>IFERROR(__xludf.DUMMYFUNCTION("""COMPUTED_VALUE"""),13213.5)</f>
        <v>13213.5</v>
      </c>
      <c r="L12" s="6">
        <f>IFERROR(__xludf.DUMMYFUNCTION("""COMPUTED_VALUE"""),13271.6)</f>
        <v>13271.6</v>
      </c>
      <c r="M12" s="6">
        <f>IFERROR(__xludf.DUMMYFUNCTION("""COMPUTED_VALUE"""),13345.65)</f>
        <v>13345.65</v>
      </c>
      <c r="N12" s="6">
        <f>IFERROR(__xludf.DUMMYFUNCTION("""COMPUTED_VALUE"""),13492.55)</f>
        <v>13492.55</v>
      </c>
      <c r="O12" s="6">
        <f>IFERROR(__xludf.DUMMYFUNCTION("""COMPUTED_VALUE"""),13718.3)</f>
        <v>13718.3</v>
      </c>
      <c r="P12" s="6">
        <f>IFERROR(__xludf.DUMMYFUNCTION("""COMPUTED_VALUE"""),13440.95)</f>
        <v>13440.95</v>
      </c>
      <c r="Q12" s="6">
        <f>IFERROR(__xludf.DUMMYFUNCTION("""COMPUTED_VALUE"""),13506.55)</f>
        <v>13506.55</v>
      </c>
      <c r="R12" s="6">
        <f>IFERROR(__xludf.DUMMYFUNCTION("""COMPUTED_VALUE"""),13557.65)</f>
        <v>13557.65</v>
      </c>
      <c r="S12" s="6">
        <f>IFERROR(__xludf.DUMMYFUNCTION("""COMPUTED_VALUE"""),13535.2)</f>
        <v>13535.2</v>
      </c>
      <c r="T12" s="6">
        <f>IFERROR(__xludf.DUMMYFUNCTION("""COMPUTED_VALUE"""),13436.0)</f>
        <v>13436</v>
      </c>
      <c r="U12" s="6">
        <f>IFERROR(__xludf.DUMMYFUNCTION("""COMPUTED_VALUE"""),13221.65)</f>
        <v>13221.65</v>
      </c>
      <c r="V12" s="6">
        <f>IFERROR(__xludf.DUMMYFUNCTION("""COMPUTED_VALUE"""),12913.65)</f>
        <v>12913.65</v>
      </c>
      <c r="W12" s="6">
        <f>IFERROR(__xludf.DUMMYFUNCTION("""COMPUTED_VALUE"""),12987.1)</f>
        <v>12987.1</v>
      </c>
      <c r="X12" s="6">
        <f>IFERROR(__xludf.DUMMYFUNCTION("""COMPUTED_VALUE"""),12766.45)</f>
        <v>12766.45</v>
      </c>
      <c r="Y12" s="6">
        <f>IFERROR(__xludf.DUMMYFUNCTION("""COMPUTED_VALUE"""),12733.6)</f>
        <v>12733.6</v>
      </c>
      <c r="Z12" s="6">
        <f>IFERROR(__xludf.DUMMYFUNCTION("""COMPUTED_VALUE"""),12854.5)</f>
        <v>12854.5</v>
      </c>
      <c r="AA12" s="6">
        <f>IFERROR(__xludf.DUMMYFUNCTION("""COMPUTED_VALUE"""),13083.85)</f>
        <v>13083.85</v>
      </c>
      <c r="AB12" s="6">
        <f>IFERROR(__xludf.DUMMYFUNCTION("""COMPUTED_VALUE"""),12881.5)</f>
        <v>12881.5</v>
      </c>
      <c r="AC12" s="6">
        <f>IFERROR(__xludf.DUMMYFUNCTION("""COMPUTED_VALUE"""),13011.4)</f>
        <v>13011.4</v>
      </c>
      <c r="AD12" s="6">
        <f>IFERROR(__xludf.DUMMYFUNCTION("""COMPUTED_VALUE"""),13010.4)</f>
        <v>13010.4</v>
      </c>
      <c r="AE12" s="6">
        <f>IFERROR(__xludf.DUMMYFUNCTION("""COMPUTED_VALUE"""),13020.8)</f>
        <v>13020.8</v>
      </c>
      <c r="AF12" s="6">
        <f>IFERROR(__xludf.DUMMYFUNCTION("""COMPUTED_VALUE"""),13020.8)</f>
        <v>13020.8</v>
      </c>
      <c r="AG12" s="6">
        <f t="shared" ref="AG12:BF12" si="13">F12/F$2</f>
        <v>0.5724980582</v>
      </c>
      <c r="AH12" s="6">
        <f t="shared" si="13"/>
        <v>0.5625478461</v>
      </c>
      <c r="AI12" s="6">
        <f t="shared" si="13"/>
        <v>0.5568700991</v>
      </c>
      <c r="AJ12" s="6">
        <f t="shared" si="13"/>
        <v>0.5573609112</v>
      </c>
      <c r="AK12" s="6">
        <f t="shared" si="13"/>
        <v>0.5573566085</v>
      </c>
      <c r="AL12" s="6">
        <f t="shared" si="13"/>
        <v>0.5585993481</v>
      </c>
      <c r="AM12" s="6">
        <f t="shared" si="13"/>
        <v>0.5595274734</v>
      </c>
      <c r="AN12" s="6">
        <f t="shared" si="13"/>
        <v>0.5553352447</v>
      </c>
      <c r="AO12" s="6">
        <f t="shared" si="13"/>
        <v>0.5642184187</v>
      </c>
      <c r="AP12" s="6">
        <f t="shared" si="13"/>
        <v>0.5738157831</v>
      </c>
      <c r="AQ12" s="6">
        <f t="shared" si="13"/>
        <v>0.5707955112</v>
      </c>
      <c r="AR12" s="6">
        <f t="shared" si="13"/>
        <v>0.5776325131</v>
      </c>
      <c r="AS12" s="6">
        <f t="shared" si="13"/>
        <v>0.5773254044</v>
      </c>
      <c r="AT12" s="6">
        <f t="shared" si="13"/>
        <v>0.5782889565</v>
      </c>
      <c r="AU12" s="6">
        <f t="shared" si="13"/>
        <v>0.5737822181</v>
      </c>
      <c r="AV12" s="6">
        <f t="shared" si="13"/>
        <v>0.5658330017</v>
      </c>
      <c r="AW12" s="6">
        <f t="shared" si="13"/>
        <v>0.5584764088</v>
      </c>
      <c r="AX12" s="6">
        <f t="shared" si="13"/>
        <v>0.5587748095</v>
      </c>
      <c r="AY12" s="6">
        <f t="shared" si="13"/>
        <v>0.5499236483</v>
      </c>
      <c r="AZ12" s="6">
        <f t="shared" si="13"/>
        <v>0.5497720365</v>
      </c>
      <c r="BA12" s="6">
        <f t="shared" si="13"/>
        <v>0.5441541894</v>
      </c>
      <c r="BB12" s="6">
        <f t="shared" si="13"/>
        <v>0.5484994068</v>
      </c>
      <c r="BC12" s="6">
        <f t="shared" si="13"/>
        <v>0.5369719227</v>
      </c>
      <c r="BD12" s="6">
        <f t="shared" si="13"/>
        <v>0.5402126573</v>
      </c>
      <c r="BE12" s="6">
        <f t="shared" si="13"/>
        <v>0.5383316783</v>
      </c>
      <c r="BF12" s="6">
        <f t="shared" si="13"/>
        <v>0.5422373621</v>
      </c>
    </row>
    <row r="13">
      <c r="A13" s="1" t="s">
        <v>15</v>
      </c>
      <c r="B13" s="6"/>
      <c r="C13" s="5">
        <f t="shared" si="11"/>
        <v>0.36</v>
      </c>
      <c r="D13" s="1" t="s">
        <v>14</v>
      </c>
      <c r="E13" s="6" t="str">
        <f>IFERROR(__xludf.DUMMYFUNCTION("GOOGLEFINANCE(D13, ""name"")
"),"Nifty Auto")</f>
        <v>Nifty Auto</v>
      </c>
      <c r="F13" s="6">
        <f>IFERROR(__xludf.DUMMYFUNCTION("{TRANSPOSE(QUERY(GOOGLEFINANCE(D13, ""close"", WORKDAY(TODAY(), -27), TODAY()-1), ""SELECT Col2 OFFSET 1"", 0)), GOOGLEFINANCE(D13, ""price"")}"),26049.7)</f>
        <v>26049.7</v>
      </c>
      <c r="G13" s="6">
        <f>IFERROR(__xludf.DUMMYFUNCTION("""COMPUTED_VALUE"""),26070.7)</f>
        <v>26070.7</v>
      </c>
      <c r="H13" s="6">
        <f>IFERROR(__xludf.DUMMYFUNCTION("""COMPUTED_VALUE"""),25624.3)</f>
        <v>25624.3</v>
      </c>
      <c r="I13" s="6">
        <f>IFERROR(__xludf.DUMMYFUNCTION("""COMPUTED_VALUE"""),25698.8)</f>
        <v>25698.8</v>
      </c>
      <c r="J13" s="6">
        <f>IFERROR(__xludf.DUMMYFUNCTION("""COMPUTED_VALUE"""),25914.35)</f>
        <v>25914.35</v>
      </c>
      <c r="K13" s="6">
        <f>IFERROR(__xludf.DUMMYFUNCTION("""COMPUTED_VALUE"""),25986.25)</f>
        <v>25986.25</v>
      </c>
      <c r="L13" s="6">
        <f>IFERROR(__xludf.DUMMYFUNCTION("""COMPUTED_VALUE"""),26017.1)</f>
        <v>26017.1</v>
      </c>
      <c r="M13" s="6">
        <f>IFERROR(__xludf.DUMMYFUNCTION("""COMPUTED_VALUE"""),26463.05)</f>
        <v>26463.05</v>
      </c>
      <c r="N13" s="6">
        <f>IFERROR(__xludf.DUMMYFUNCTION("""COMPUTED_VALUE"""),26480.5)</f>
        <v>26480.5</v>
      </c>
      <c r="O13" s="6">
        <f>IFERROR(__xludf.DUMMYFUNCTION("""COMPUTED_VALUE"""),26864.2)</f>
        <v>26864.2</v>
      </c>
      <c r="P13" s="6">
        <f>IFERROR(__xludf.DUMMYFUNCTION("""COMPUTED_VALUE"""),26338.45)</f>
        <v>26338.45</v>
      </c>
      <c r="Q13" s="6">
        <f>IFERROR(__xludf.DUMMYFUNCTION("""COMPUTED_VALUE"""),25891.9)</f>
        <v>25891.9</v>
      </c>
      <c r="R13" s="6">
        <f>IFERROR(__xludf.DUMMYFUNCTION("""COMPUTED_VALUE"""),26079.45)</f>
        <v>26079.45</v>
      </c>
      <c r="S13" s="6">
        <f>IFERROR(__xludf.DUMMYFUNCTION("""COMPUTED_VALUE"""),26092.8)</f>
        <v>26092.8</v>
      </c>
      <c r="T13" s="6">
        <f>IFERROR(__xludf.DUMMYFUNCTION("""COMPUTED_VALUE"""),26144.35)</f>
        <v>26144.35</v>
      </c>
      <c r="U13" s="6">
        <f>IFERROR(__xludf.DUMMYFUNCTION("""COMPUTED_VALUE"""),26165.95)</f>
        <v>26165.95</v>
      </c>
      <c r="V13" s="6">
        <f>IFERROR(__xludf.DUMMYFUNCTION("""COMPUTED_VALUE"""),25681.8)</f>
        <v>25681.8</v>
      </c>
      <c r="W13" s="6">
        <f>IFERROR(__xludf.DUMMYFUNCTION("""COMPUTED_VALUE"""),26025.65)</f>
        <v>26025.65</v>
      </c>
      <c r="X13" s="6">
        <f>IFERROR(__xludf.DUMMYFUNCTION("""COMPUTED_VALUE"""),25833.55)</f>
        <v>25833.55</v>
      </c>
      <c r="Y13" s="6">
        <f>IFERROR(__xludf.DUMMYFUNCTION("""COMPUTED_VALUE"""),25790.35)</f>
        <v>25790.35</v>
      </c>
      <c r="Z13" s="6">
        <f>IFERROR(__xludf.DUMMYFUNCTION("""COMPUTED_VALUE"""),26293.85)</f>
        <v>26293.85</v>
      </c>
      <c r="AA13" s="6">
        <f>IFERROR(__xludf.DUMMYFUNCTION("""COMPUTED_VALUE"""),26977.5)</f>
        <v>26977.5</v>
      </c>
      <c r="AB13" s="6">
        <f>IFERROR(__xludf.DUMMYFUNCTION("""COMPUTED_VALUE"""),26891.55)</f>
        <v>26891.55</v>
      </c>
      <c r="AC13" s="6">
        <f>IFERROR(__xludf.DUMMYFUNCTION("""COMPUTED_VALUE"""),26724.4)</f>
        <v>26724.4</v>
      </c>
      <c r="AD13" s="6">
        <f>IFERROR(__xludf.DUMMYFUNCTION("""COMPUTED_VALUE"""),26746.4)</f>
        <v>26746.4</v>
      </c>
      <c r="AE13" s="6">
        <f>IFERROR(__xludf.DUMMYFUNCTION("""COMPUTED_VALUE"""),26583.35)</f>
        <v>26583.35</v>
      </c>
      <c r="AF13" s="6">
        <f>IFERROR(__xludf.DUMMYFUNCTION("""COMPUTED_VALUE"""),26583.35)</f>
        <v>26583.35</v>
      </c>
      <c r="AG13" s="6">
        <f t="shared" ref="AG13:BF13" si="14">F13/F$2</f>
        <v>1.099625996</v>
      </c>
      <c r="AH13" s="6">
        <f t="shared" si="14"/>
        <v>1.102658236</v>
      </c>
      <c r="AI13" s="6">
        <f t="shared" si="14"/>
        <v>1.083482206</v>
      </c>
      <c r="AJ13" s="6">
        <f t="shared" si="14"/>
        <v>1.088102295</v>
      </c>
      <c r="AK13" s="6">
        <f t="shared" si="14"/>
        <v>1.09532736</v>
      </c>
      <c r="AL13" s="6">
        <f t="shared" si="14"/>
        <v>1.098566036</v>
      </c>
      <c r="AM13" s="6">
        <f t="shared" si="14"/>
        <v>1.096874697</v>
      </c>
      <c r="AN13" s="6">
        <f t="shared" si="14"/>
        <v>1.101172618</v>
      </c>
      <c r="AO13" s="6">
        <f t="shared" si="14"/>
        <v>1.107335962</v>
      </c>
      <c r="AP13" s="6">
        <f t="shared" si="14"/>
        <v>1.123688938</v>
      </c>
      <c r="AQ13" s="6">
        <f t="shared" si="14"/>
        <v>1.118512384</v>
      </c>
      <c r="AR13" s="6">
        <f t="shared" si="14"/>
        <v>1.107314841</v>
      </c>
      <c r="AS13" s="6">
        <f t="shared" si="14"/>
        <v>1.110541209</v>
      </c>
      <c r="AT13" s="6">
        <f t="shared" si="14"/>
        <v>1.114810131</v>
      </c>
      <c r="AU13" s="6">
        <f t="shared" si="14"/>
        <v>1.11649026</v>
      </c>
      <c r="AV13" s="6">
        <f t="shared" si="14"/>
        <v>1.119796548</v>
      </c>
      <c r="AW13" s="6">
        <f t="shared" si="14"/>
        <v>1.110660381</v>
      </c>
      <c r="AX13" s="6">
        <f t="shared" si="14"/>
        <v>1.119763274</v>
      </c>
      <c r="AY13" s="6">
        <f t="shared" si="14"/>
        <v>1.112798003</v>
      </c>
      <c r="AZ13" s="6">
        <f t="shared" si="14"/>
        <v>1.113496045</v>
      </c>
      <c r="BA13" s="6">
        <f t="shared" si="14"/>
        <v>1.113066135</v>
      </c>
      <c r="BB13" s="6">
        <f t="shared" si="14"/>
        <v>1.130947141</v>
      </c>
      <c r="BC13" s="6">
        <f t="shared" si="14"/>
        <v>1.12098803</v>
      </c>
      <c r="BD13" s="6">
        <f t="shared" si="14"/>
        <v>1.109554632</v>
      </c>
      <c r="BE13" s="6">
        <f t="shared" si="14"/>
        <v>1.106686528</v>
      </c>
      <c r="BF13" s="6">
        <f t="shared" si="14"/>
        <v>1.107035327</v>
      </c>
    </row>
    <row r="14">
      <c r="A14" s="1" t="s">
        <v>16</v>
      </c>
      <c r="B14" s="6"/>
      <c r="C14" s="5">
        <f t="shared" si="11"/>
        <v>0.44</v>
      </c>
      <c r="D14" s="1" t="s">
        <v>15</v>
      </c>
      <c r="E14" s="6" t="str">
        <f>IFERROR(__xludf.DUMMYFUNCTION("GOOGLEFINANCE(D14, ""name"")
"),"Nifty Energy")</f>
        <v>Nifty Energy</v>
      </c>
      <c r="F14" s="6">
        <f>IFERROR(__xludf.DUMMYFUNCTION("{TRANSPOSE(QUERY(GOOGLEFINANCE(D14, ""close"", WORKDAY(TODAY(), -27), TODAY()-1), ""SELECT Col2 OFFSET 1"", 0)), GOOGLEFINANCE(D14, ""price"")}"),40080.15)</f>
        <v>40080.15</v>
      </c>
      <c r="G14" s="6">
        <f>IFERROR(__xludf.DUMMYFUNCTION("""COMPUTED_VALUE"""),39816.85)</f>
        <v>39816.85</v>
      </c>
      <c r="H14" s="6">
        <f>IFERROR(__xludf.DUMMYFUNCTION("""COMPUTED_VALUE"""),39519.5)</f>
        <v>39519.5</v>
      </c>
      <c r="I14" s="6">
        <f>IFERROR(__xludf.DUMMYFUNCTION("""COMPUTED_VALUE"""),39569.1)</f>
        <v>39569.1</v>
      </c>
      <c r="J14" s="6">
        <f>IFERROR(__xludf.DUMMYFUNCTION("""COMPUTED_VALUE"""),40154.95)</f>
        <v>40154.95</v>
      </c>
      <c r="K14" s="6">
        <f>IFERROR(__xludf.DUMMYFUNCTION("""COMPUTED_VALUE"""),40277.8)</f>
        <v>40277.8</v>
      </c>
      <c r="L14" s="6">
        <f>IFERROR(__xludf.DUMMYFUNCTION("""COMPUTED_VALUE"""),40237.6)</f>
        <v>40237.6</v>
      </c>
      <c r="M14" s="6">
        <f>IFERROR(__xludf.DUMMYFUNCTION("""COMPUTED_VALUE"""),40578.8)</f>
        <v>40578.8</v>
      </c>
      <c r="N14" s="6">
        <f>IFERROR(__xludf.DUMMYFUNCTION("""COMPUTED_VALUE"""),40814.6)</f>
        <v>40814.6</v>
      </c>
      <c r="O14" s="6">
        <f>IFERROR(__xludf.DUMMYFUNCTION("""COMPUTED_VALUE"""),41535.75)</f>
        <v>41535.75</v>
      </c>
      <c r="P14" s="6">
        <f>IFERROR(__xludf.DUMMYFUNCTION("""COMPUTED_VALUE"""),40878.0)</f>
        <v>40878</v>
      </c>
      <c r="Q14" s="6">
        <f>IFERROR(__xludf.DUMMYFUNCTION("""COMPUTED_VALUE"""),40253.65)</f>
        <v>40253.65</v>
      </c>
      <c r="R14" s="6">
        <f>IFERROR(__xludf.DUMMYFUNCTION("""COMPUTED_VALUE"""),40189.65)</f>
        <v>40189.65</v>
      </c>
      <c r="S14" s="6">
        <f>IFERROR(__xludf.DUMMYFUNCTION("""COMPUTED_VALUE"""),40196.85)</f>
        <v>40196.85</v>
      </c>
      <c r="T14" s="6">
        <f>IFERROR(__xludf.DUMMYFUNCTION("""COMPUTED_VALUE"""),40445.75)</f>
        <v>40445.75</v>
      </c>
      <c r="U14" s="6">
        <f>IFERROR(__xludf.DUMMYFUNCTION("""COMPUTED_VALUE"""),40346.1)</f>
        <v>40346.1</v>
      </c>
      <c r="V14" s="6">
        <f>IFERROR(__xludf.DUMMYFUNCTION("""COMPUTED_VALUE"""),39685.45)</f>
        <v>39685.45</v>
      </c>
      <c r="W14" s="6">
        <f>IFERROR(__xludf.DUMMYFUNCTION("""COMPUTED_VALUE"""),39752.95)</f>
        <v>39752.95</v>
      </c>
      <c r="X14" s="6">
        <f>IFERROR(__xludf.DUMMYFUNCTION("""COMPUTED_VALUE"""),38949.3)</f>
        <v>38949.3</v>
      </c>
      <c r="Y14" s="6">
        <f>IFERROR(__xludf.DUMMYFUNCTION("""COMPUTED_VALUE"""),38655.9)</f>
        <v>38655.9</v>
      </c>
      <c r="Z14" s="6">
        <f>IFERROR(__xludf.DUMMYFUNCTION("""COMPUTED_VALUE"""),39244.45)</f>
        <v>39244.45</v>
      </c>
      <c r="AA14" s="6">
        <f>IFERROR(__xludf.DUMMYFUNCTION("""COMPUTED_VALUE"""),39493.95)</f>
        <v>39493.95</v>
      </c>
      <c r="AB14" s="6">
        <f>IFERROR(__xludf.DUMMYFUNCTION("""COMPUTED_VALUE"""),39915.4)</f>
        <v>39915.4</v>
      </c>
      <c r="AC14" s="6">
        <f>IFERROR(__xludf.DUMMYFUNCTION("""COMPUTED_VALUE"""),40238.45)</f>
        <v>40238.45</v>
      </c>
      <c r="AD14" s="6">
        <f>IFERROR(__xludf.DUMMYFUNCTION("""COMPUTED_VALUE"""),40457.3)</f>
        <v>40457.3</v>
      </c>
      <c r="AE14" s="6">
        <f>IFERROR(__xludf.DUMMYFUNCTION("""COMPUTED_VALUE"""),40548.1)</f>
        <v>40548.1</v>
      </c>
      <c r="AF14" s="6">
        <f>IFERROR(__xludf.DUMMYFUNCTION("""COMPUTED_VALUE"""),40548.1)</f>
        <v>40548.1</v>
      </c>
      <c r="AG14" s="6">
        <f t="shared" ref="AG14:BF14" si="15">F14/F$2</f>
        <v>1.691888001</v>
      </c>
      <c r="AH14" s="6">
        <f t="shared" si="15"/>
        <v>1.684050585</v>
      </c>
      <c r="AI14" s="6">
        <f t="shared" si="15"/>
        <v>1.671018332</v>
      </c>
      <c r="AJ14" s="6">
        <f t="shared" si="15"/>
        <v>1.675378948</v>
      </c>
      <c r="AK14" s="6">
        <f t="shared" si="15"/>
        <v>1.697237838</v>
      </c>
      <c r="AL14" s="6">
        <f t="shared" si="15"/>
        <v>1.702739836</v>
      </c>
      <c r="AM14" s="6">
        <f t="shared" si="15"/>
        <v>1.696407567</v>
      </c>
      <c r="AN14" s="6">
        <f t="shared" si="15"/>
        <v>1.688553036</v>
      </c>
      <c r="AO14" s="6">
        <f t="shared" si="15"/>
        <v>1.706745506</v>
      </c>
      <c r="AP14" s="6">
        <f t="shared" si="15"/>
        <v>1.73737773</v>
      </c>
      <c r="AQ14" s="6">
        <f t="shared" si="15"/>
        <v>1.735962035</v>
      </c>
      <c r="AR14" s="6">
        <f t="shared" si="15"/>
        <v>1.721521559</v>
      </c>
      <c r="AS14" s="6">
        <f t="shared" si="15"/>
        <v>1.711395849</v>
      </c>
      <c r="AT14" s="6">
        <f t="shared" si="15"/>
        <v>1.7174031</v>
      </c>
      <c r="AU14" s="6">
        <f t="shared" si="15"/>
        <v>1.727229246</v>
      </c>
      <c r="AV14" s="6">
        <f t="shared" si="15"/>
        <v>1.726649463</v>
      </c>
      <c r="AW14" s="6">
        <f t="shared" si="15"/>
        <v>1.716276002</v>
      </c>
      <c r="AX14" s="6">
        <f t="shared" si="15"/>
        <v>1.710385464</v>
      </c>
      <c r="AY14" s="6">
        <f t="shared" si="15"/>
        <v>1.67776799</v>
      </c>
      <c r="AZ14" s="6">
        <f t="shared" si="15"/>
        <v>1.668965011</v>
      </c>
      <c r="BA14" s="6">
        <f t="shared" si="15"/>
        <v>1.661288411</v>
      </c>
      <c r="BB14" s="6">
        <f t="shared" si="15"/>
        <v>1.655660081</v>
      </c>
      <c r="BC14" s="6">
        <f t="shared" si="15"/>
        <v>1.663893885</v>
      </c>
      <c r="BD14" s="6">
        <f t="shared" si="15"/>
        <v>1.670636519</v>
      </c>
      <c r="BE14" s="6">
        <f t="shared" si="15"/>
        <v>1.674002814</v>
      </c>
      <c r="BF14" s="6">
        <f t="shared" si="15"/>
        <v>1.688582482</v>
      </c>
    </row>
    <row r="15">
      <c r="A15" s="1" t="s">
        <v>17</v>
      </c>
      <c r="B15" s="6"/>
      <c r="C15" s="5">
        <f t="shared" si="11"/>
        <v>0.88</v>
      </c>
      <c r="D15" s="1" t="s">
        <v>16</v>
      </c>
      <c r="E15" s="6" t="str">
        <f>IFERROR(__xludf.DUMMYFUNCTION("GOOGLEFINANCE(D15, ""name"")
"),"Nifty Infrastructure")</f>
        <v>Nifty Infrastructure</v>
      </c>
      <c r="F15" s="6">
        <f>IFERROR(__xludf.DUMMYFUNCTION("{TRANSPOSE(QUERY(GOOGLEFINANCE(D15, ""close"", WORKDAY(TODAY(), -27), TODAY()-1), ""SELECT Col2 OFFSET 1"", 0)), GOOGLEFINANCE(D15, ""price"")}"),9368.65)</f>
        <v>9368.65</v>
      </c>
      <c r="G15" s="6">
        <f>IFERROR(__xludf.DUMMYFUNCTION("""COMPUTED_VALUE"""),9327.85)</f>
        <v>9327.85</v>
      </c>
      <c r="H15" s="6">
        <f>IFERROR(__xludf.DUMMYFUNCTION("""COMPUTED_VALUE"""),9306.95)</f>
        <v>9306.95</v>
      </c>
      <c r="I15" s="6">
        <f>IFERROR(__xludf.DUMMYFUNCTION("""COMPUTED_VALUE"""),9276.65)</f>
        <v>9276.65</v>
      </c>
      <c r="J15" s="6">
        <f>IFERROR(__xludf.DUMMYFUNCTION("""COMPUTED_VALUE"""),9355.45)</f>
        <v>9355.45</v>
      </c>
      <c r="K15" s="6">
        <f>IFERROR(__xludf.DUMMYFUNCTION("""COMPUTED_VALUE"""),9381.3)</f>
        <v>9381.3</v>
      </c>
      <c r="L15" s="6">
        <f>IFERROR(__xludf.DUMMYFUNCTION("""COMPUTED_VALUE"""),9359.5)</f>
        <v>9359.5</v>
      </c>
      <c r="M15" s="6">
        <f>IFERROR(__xludf.DUMMYFUNCTION("""COMPUTED_VALUE"""),9460.2)</f>
        <v>9460.2</v>
      </c>
      <c r="N15" s="6">
        <f>IFERROR(__xludf.DUMMYFUNCTION("""COMPUTED_VALUE"""),9418.3)</f>
        <v>9418.3</v>
      </c>
      <c r="O15" s="6">
        <f>IFERROR(__xludf.DUMMYFUNCTION("""COMPUTED_VALUE"""),9499.0)</f>
        <v>9499</v>
      </c>
      <c r="P15" s="6">
        <f>IFERROR(__xludf.DUMMYFUNCTION("""COMPUTED_VALUE"""),9353.05)</f>
        <v>9353.05</v>
      </c>
      <c r="Q15" s="6">
        <f>IFERROR(__xludf.DUMMYFUNCTION("""COMPUTED_VALUE"""),9237.15)</f>
        <v>9237.15</v>
      </c>
      <c r="R15" s="6">
        <f>IFERROR(__xludf.DUMMYFUNCTION("""COMPUTED_VALUE"""),9226.65)</f>
        <v>9226.65</v>
      </c>
      <c r="S15" s="6">
        <f>IFERROR(__xludf.DUMMYFUNCTION("""COMPUTED_VALUE"""),9219.15)</f>
        <v>9219.15</v>
      </c>
      <c r="T15" s="6">
        <f>IFERROR(__xludf.DUMMYFUNCTION("""COMPUTED_VALUE"""),9209.15)</f>
        <v>9209.15</v>
      </c>
      <c r="U15" s="6">
        <f>IFERROR(__xludf.DUMMYFUNCTION("""COMPUTED_VALUE"""),9182.25)</f>
        <v>9182.25</v>
      </c>
      <c r="V15" s="6">
        <f>IFERROR(__xludf.DUMMYFUNCTION("""COMPUTED_VALUE"""),9087.55)</f>
        <v>9087.55</v>
      </c>
      <c r="W15" s="6">
        <f>IFERROR(__xludf.DUMMYFUNCTION("""COMPUTED_VALUE"""),9122.35)</f>
        <v>9122.35</v>
      </c>
      <c r="X15" s="6">
        <f>IFERROR(__xludf.DUMMYFUNCTION("""COMPUTED_VALUE"""),9061.2)</f>
        <v>9061.2</v>
      </c>
      <c r="Y15" s="6">
        <f>IFERROR(__xludf.DUMMYFUNCTION("""COMPUTED_VALUE"""),9024.9)</f>
        <v>9024.9</v>
      </c>
      <c r="Z15" s="6">
        <f>IFERROR(__xludf.DUMMYFUNCTION("""COMPUTED_VALUE"""),9236.8)</f>
        <v>9236.8</v>
      </c>
      <c r="AA15" s="6">
        <f>IFERROR(__xludf.DUMMYFUNCTION("""COMPUTED_VALUE"""),9370.7)</f>
        <v>9370.7</v>
      </c>
      <c r="AB15" s="6">
        <f>IFERROR(__xludf.DUMMYFUNCTION("""COMPUTED_VALUE"""),9426.7)</f>
        <v>9426.7</v>
      </c>
      <c r="AC15" s="6">
        <f>IFERROR(__xludf.DUMMYFUNCTION("""COMPUTED_VALUE"""),9469.95)</f>
        <v>9469.95</v>
      </c>
      <c r="AD15" s="6">
        <f>IFERROR(__xludf.DUMMYFUNCTION("""COMPUTED_VALUE"""),9499.7)</f>
        <v>9499.7</v>
      </c>
      <c r="AE15" s="6">
        <f>IFERROR(__xludf.DUMMYFUNCTION("""COMPUTED_VALUE"""),9511.85)</f>
        <v>9511.85</v>
      </c>
      <c r="AF15" s="6">
        <f>IFERROR(__xludf.DUMMYFUNCTION("""COMPUTED_VALUE"""),9511.85)</f>
        <v>9511.85</v>
      </c>
      <c r="AG15" s="6">
        <f t="shared" ref="AG15:BF15" si="16">F15/F$2</f>
        <v>0.3954752296</v>
      </c>
      <c r="AH15" s="6">
        <f t="shared" si="16"/>
        <v>0.3945206928</v>
      </c>
      <c r="AI15" s="6">
        <f t="shared" si="16"/>
        <v>0.3935293732</v>
      </c>
      <c r="AJ15" s="6">
        <f t="shared" si="16"/>
        <v>0.3927788128</v>
      </c>
      <c r="AK15" s="6">
        <f t="shared" si="16"/>
        <v>0.3954288009</v>
      </c>
      <c r="AL15" s="6">
        <f t="shared" si="16"/>
        <v>0.3965934888</v>
      </c>
      <c r="AM15" s="6">
        <f t="shared" si="16"/>
        <v>0.3945942755</v>
      </c>
      <c r="AN15" s="6">
        <f t="shared" si="16"/>
        <v>0.3936550473</v>
      </c>
      <c r="AO15" s="6">
        <f t="shared" si="16"/>
        <v>0.393845369</v>
      </c>
      <c r="AP15" s="6">
        <f t="shared" si="16"/>
        <v>0.3973288326</v>
      </c>
      <c r="AQ15" s="6">
        <f t="shared" si="16"/>
        <v>0.3971950611</v>
      </c>
      <c r="AR15" s="6">
        <f t="shared" si="16"/>
        <v>0.3950437505</v>
      </c>
      <c r="AS15" s="6">
        <f t="shared" si="16"/>
        <v>0.3928984332</v>
      </c>
      <c r="AT15" s="6">
        <f t="shared" si="16"/>
        <v>0.3938865058</v>
      </c>
      <c r="AU15" s="6">
        <f t="shared" si="16"/>
        <v>0.393275269</v>
      </c>
      <c r="AV15" s="6">
        <f t="shared" si="16"/>
        <v>0.3929630628</v>
      </c>
      <c r="AW15" s="6">
        <f t="shared" si="16"/>
        <v>0.3930091251</v>
      </c>
      <c r="AX15" s="6">
        <f t="shared" si="16"/>
        <v>0.3924925028</v>
      </c>
      <c r="AY15" s="6">
        <f t="shared" si="16"/>
        <v>0.3903174463</v>
      </c>
      <c r="AZ15" s="6">
        <f t="shared" si="16"/>
        <v>0.389649247</v>
      </c>
      <c r="BA15" s="6">
        <f t="shared" si="16"/>
        <v>0.3910104179</v>
      </c>
      <c r="BB15" s="6">
        <f t="shared" si="16"/>
        <v>0.39283723</v>
      </c>
      <c r="BC15" s="6">
        <f t="shared" si="16"/>
        <v>0.3929568159</v>
      </c>
      <c r="BD15" s="6">
        <f t="shared" si="16"/>
        <v>0.3931772795</v>
      </c>
      <c r="BE15" s="6">
        <f t="shared" si="16"/>
        <v>0.3930693479</v>
      </c>
      <c r="BF15" s="6">
        <f t="shared" si="16"/>
        <v>0.3961108728</v>
      </c>
    </row>
    <row r="16">
      <c r="A16" s="1" t="s">
        <v>18</v>
      </c>
      <c r="B16" s="6"/>
      <c r="C16" s="5">
        <f t="shared" si="11"/>
        <v>0.88</v>
      </c>
      <c r="D16" s="1" t="s">
        <v>17</v>
      </c>
      <c r="E16" s="6" t="str">
        <f>IFERROR(__xludf.DUMMYFUNCTION("GOOGLEFINANCE(D16, ""name"")
"),"Nifty Realty")</f>
        <v>Nifty Realty</v>
      </c>
      <c r="F16" s="6">
        <f>IFERROR(__xludf.DUMMYFUNCTION("{TRANSPOSE(QUERY(GOOGLEFINANCE(D16, ""close"", WORKDAY(TODAY(), -27), TODAY()-1), ""SELECT Col2 OFFSET 1"", 0)), GOOGLEFINANCE(D16, ""price"")}"),770.1)</f>
        <v>770.1</v>
      </c>
      <c r="G16" s="6">
        <f>IFERROR(__xludf.DUMMYFUNCTION("""COMPUTED_VALUE"""),756.3)</f>
        <v>756.3</v>
      </c>
      <c r="H16" s="6">
        <f>IFERROR(__xludf.DUMMYFUNCTION("""COMPUTED_VALUE"""),751.95)</f>
        <v>751.95</v>
      </c>
      <c r="I16" s="6">
        <f>IFERROR(__xludf.DUMMYFUNCTION("""COMPUTED_VALUE"""),762.7)</f>
        <v>762.7</v>
      </c>
      <c r="J16" s="6">
        <f>IFERROR(__xludf.DUMMYFUNCTION("""COMPUTED_VALUE"""),767.05)</f>
        <v>767.05</v>
      </c>
      <c r="K16" s="6">
        <f>IFERROR(__xludf.DUMMYFUNCTION("""COMPUTED_VALUE"""),775.1)</f>
        <v>775.1</v>
      </c>
      <c r="L16" s="6">
        <f>IFERROR(__xludf.DUMMYFUNCTION("""COMPUTED_VALUE"""),774.4)</f>
        <v>774.4</v>
      </c>
      <c r="M16" s="6">
        <f>IFERROR(__xludf.DUMMYFUNCTION("""COMPUTED_VALUE"""),786.05)</f>
        <v>786.05</v>
      </c>
      <c r="N16" s="6">
        <f>IFERROR(__xludf.DUMMYFUNCTION("""COMPUTED_VALUE"""),782.0)</f>
        <v>782</v>
      </c>
      <c r="O16" s="6">
        <f>IFERROR(__xludf.DUMMYFUNCTION("""COMPUTED_VALUE"""),784.55)</f>
        <v>784.55</v>
      </c>
      <c r="P16" s="6">
        <f>IFERROR(__xludf.DUMMYFUNCTION("""COMPUTED_VALUE"""),782.55)</f>
        <v>782.55</v>
      </c>
      <c r="Q16" s="6">
        <f>IFERROR(__xludf.DUMMYFUNCTION("""COMPUTED_VALUE"""),768.2)</f>
        <v>768.2</v>
      </c>
      <c r="R16" s="6">
        <f>IFERROR(__xludf.DUMMYFUNCTION("""COMPUTED_VALUE"""),773.35)</f>
        <v>773.35</v>
      </c>
      <c r="S16" s="6">
        <f>IFERROR(__xludf.DUMMYFUNCTION("""COMPUTED_VALUE"""),762.6)</f>
        <v>762.6</v>
      </c>
      <c r="T16" s="6">
        <f>IFERROR(__xludf.DUMMYFUNCTION("""COMPUTED_VALUE"""),764.6)</f>
        <v>764.6</v>
      </c>
      <c r="U16" s="6">
        <f>IFERROR(__xludf.DUMMYFUNCTION("""COMPUTED_VALUE"""),768.9)</f>
        <v>768.9</v>
      </c>
      <c r="V16" s="6">
        <f>IFERROR(__xludf.DUMMYFUNCTION("""COMPUTED_VALUE"""),749.2)</f>
        <v>749.2</v>
      </c>
      <c r="W16" s="6">
        <f>IFERROR(__xludf.DUMMYFUNCTION("""COMPUTED_VALUE"""),761.4)</f>
        <v>761.4</v>
      </c>
      <c r="X16" s="6">
        <f>IFERROR(__xludf.DUMMYFUNCTION("""COMPUTED_VALUE"""),748.15)</f>
        <v>748.15</v>
      </c>
      <c r="Y16" s="6">
        <f>IFERROR(__xludf.DUMMYFUNCTION("""COMPUTED_VALUE"""),743.35)</f>
        <v>743.35</v>
      </c>
      <c r="Z16" s="6">
        <f>IFERROR(__xludf.DUMMYFUNCTION("""COMPUTED_VALUE"""),769.6)</f>
        <v>769.6</v>
      </c>
      <c r="AA16" s="6">
        <f>IFERROR(__xludf.DUMMYFUNCTION("""COMPUTED_VALUE"""),800.05)</f>
        <v>800.05</v>
      </c>
      <c r="AB16" s="6">
        <f>IFERROR(__xludf.DUMMYFUNCTION("""COMPUTED_VALUE"""),818.1)</f>
        <v>818.1</v>
      </c>
      <c r="AC16" s="6">
        <f>IFERROR(__xludf.DUMMYFUNCTION("""COMPUTED_VALUE"""),814.6)</f>
        <v>814.6</v>
      </c>
      <c r="AD16" s="6">
        <f>IFERROR(__xludf.DUMMYFUNCTION("""COMPUTED_VALUE"""),820.2)</f>
        <v>820.2</v>
      </c>
      <c r="AE16" s="6">
        <f>IFERROR(__xludf.DUMMYFUNCTION("""COMPUTED_VALUE"""),811.9)</f>
        <v>811.9</v>
      </c>
      <c r="AF16" s="6">
        <f>IFERROR(__xludf.DUMMYFUNCTION("""COMPUTED_VALUE"""),811.9)</f>
        <v>811.9</v>
      </c>
      <c r="AG16" s="6">
        <f t="shared" ref="AG16:BF16" si="17">F16/F$2</f>
        <v>0.03250793597</v>
      </c>
      <c r="AH16" s="6">
        <f t="shared" si="17"/>
        <v>0.03198764988</v>
      </c>
      <c r="AI16" s="6">
        <f t="shared" si="17"/>
        <v>0.03179499322</v>
      </c>
      <c r="AJ16" s="6">
        <f t="shared" si="17"/>
        <v>0.03229316623</v>
      </c>
      <c r="AK16" s="6">
        <f t="shared" si="17"/>
        <v>0.03242106598</v>
      </c>
      <c r="AL16" s="6">
        <f t="shared" si="17"/>
        <v>0.03276727247</v>
      </c>
      <c r="AM16" s="6">
        <f t="shared" si="17"/>
        <v>0.0326485183</v>
      </c>
      <c r="AN16" s="6">
        <f t="shared" si="17"/>
        <v>0.03270888035</v>
      </c>
      <c r="AO16" s="6">
        <f t="shared" si="17"/>
        <v>0.03270092039</v>
      </c>
      <c r="AP16" s="6">
        <f t="shared" si="17"/>
        <v>0.03281654233</v>
      </c>
      <c r="AQ16" s="6">
        <f t="shared" si="17"/>
        <v>0.03323247444</v>
      </c>
      <c r="AR16" s="6">
        <f t="shared" si="17"/>
        <v>0.03285348935</v>
      </c>
      <c r="AS16" s="6">
        <f t="shared" si="17"/>
        <v>0.03293156273</v>
      </c>
      <c r="AT16" s="6">
        <f t="shared" si="17"/>
        <v>0.0325819462</v>
      </c>
      <c r="AU16" s="6">
        <f t="shared" si="17"/>
        <v>0.03265211997</v>
      </c>
      <c r="AV16" s="6">
        <f t="shared" si="17"/>
        <v>0.03290580185</v>
      </c>
      <c r="AW16" s="6">
        <f t="shared" si="17"/>
        <v>0.03240064006</v>
      </c>
      <c r="AX16" s="6">
        <f t="shared" si="17"/>
        <v>0.03275951829</v>
      </c>
      <c r="AY16" s="6">
        <f t="shared" si="17"/>
        <v>0.03222707781</v>
      </c>
      <c r="AZ16" s="6">
        <f t="shared" si="17"/>
        <v>0.03209406949</v>
      </c>
      <c r="BA16" s="6">
        <f t="shared" si="17"/>
        <v>0.03257855725</v>
      </c>
      <c r="BB16" s="6">
        <f t="shared" si="17"/>
        <v>0.03353958891</v>
      </c>
      <c r="BC16" s="6">
        <f t="shared" si="17"/>
        <v>0.03410291736</v>
      </c>
      <c r="BD16" s="6">
        <f t="shared" si="17"/>
        <v>0.03382089788</v>
      </c>
      <c r="BE16" s="6">
        <f t="shared" si="17"/>
        <v>0.03393743793</v>
      </c>
      <c r="BF16" s="6">
        <f t="shared" si="17"/>
        <v>0.03381071165</v>
      </c>
    </row>
    <row r="17">
      <c r="A17" s="7" t="s">
        <v>19</v>
      </c>
      <c r="B17" s="6"/>
      <c r="C17" s="5">
        <f t="shared" si="11"/>
        <v>0.96</v>
      </c>
      <c r="D17" s="1" t="s">
        <v>18</v>
      </c>
      <c r="E17" s="6" t="str">
        <f>IFERROR(__xludf.DUMMYFUNCTION("GOOGLEFINANCE(D17, ""name"")
"),"Nifty PSU Bank")</f>
        <v>Nifty PSU Bank</v>
      </c>
      <c r="F17" s="6">
        <f>IFERROR(__xludf.DUMMYFUNCTION("{TRANSPOSE(QUERY(GOOGLEFINANCE(D17, ""close"", WORKDAY(TODAY(), -27), TODAY()-1), ""SELECT Col2 OFFSET 1"", 0)), GOOGLEFINANCE(D17, ""price"")}"),8174.4)</f>
        <v>8174.4</v>
      </c>
      <c r="G17" s="6">
        <f>IFERROR(__xludf.DUMMYFUNCTION("""COMPUTED_VALUE"""),8027.2)</f>
        <v>8027.2</v>
      </c>
      <c r="H17" s="6">
        <f>IFERROR(__xludf.DUMMYFUNCTION("""COMPUTED_VALUE"""),7873.0)</f>
        <v>7873</v>
      </c>
      <c r="I17" s="6">
        <f>IFERROR(__xludf.DUMMYFUNCTION("""COMPUTED_VALUE"""),7936.4)</f>
        <v>7936.4</v>
      </c>
      <c r="J17" s="6">
        <f>IFERROR(__xludf.DUMMYFUNCTION("""COMPUTED_VALUE"""),7970.9)</f>
        <v>7970.9</v>
      </c>
      <c r="K17" s="6">
        <f>IFERROR(__xludf.DUMMYFUNCTION("""COMPUTED_VALUE"""),7988.35)</f>
        <v>7988.35</v>
      </c>
      <c r="L17" s="6">
        <f>IFERROR(__xludf.DUMMYFUNCTION("""COMPUTED_VALUE"""),8006.15)</f>
        <v>8006.15</v>
      </c>
      <c r="M17" s="6">
        <f>IFERROR(__xludf.DUMMYFUNCTION("""COMPUTED_VALUE"""),8238.1)</f>
        <v>8238.1</v>
      </c>
      <c r="N17" s="6">
        <f>IFERROR(__xludf.DUMMYFUNCTION("""COMPUTED_VALUE"""),8200.2)</f>
        <v>8200.2</v>
      </c>
      <c r="O17" s="6">
        <f>IFERROR(__xludf.DUMMYFUNCTION("""COMPUTED_VALUE"""),8225.45)</f>
        <v>8225.45</v>
      </c>
      <c r="P17" s="6">
        <f>IFERROR(__xludf.DUMMYFUNCTION("""COMPUTED_VALUE"""),8156.15)</f>
        <v>8156.15</v>
      </c>
      <c r="Q17" s="6">
        <f>IFERROR(__xludf.DUMMYFUNCTION("""COMPUTED_VALUE"""),8005.5)</f>
        <v>8005.5</v>
      </c>
      <c r="R17" s="6">
        <f>IFERROR(__xludf.DUMMYFUNCTION("""COMPUTED_VALUE"""),8049.15)</f>
        <v>8049.15</v>
      </c>
      <c r="S17" s="6">
        <f>IFERROR(__xludf.DUMMYFUNCTION("""COMPUTED_VALUE"""),8185.9)</f>
        <v>8185.9</v>
      </c>
      <c r="T17" s="6">
        <f>IFERROR(__xludf.DUMMYFUNCTION("""COMPUTED_VALUE"""),8219.35)</f>
        <v>8219.35</v>
      </c>
      <c r="U17" s="6">
        <f>IFERROR(__xludf.DUMMYFUNCTION("""COMPUTED_VALUE"""),8259.05)</f>
        <v>8259.05</v>
      </c>
      <c r="V17" s="6">
        <f>IFERROR(__xludf.DUMMYFUNCTION("""COMPUTED_VALUE"""),8199.55)</f>
        <v>8199.55</v>
      </c>
      <c r="W17" s="6">
        <f>IFERROR(__xludf.DUMMYFUNCTION("""COMPUTED_VALUE"""),8496.6)</f>
        <v>8496.6</v>
      </c>
      <c r="X17" s="6">
        <f>IFERROR(__xludf.DUMMYFUNCTION("""COMPUTED_VALUE"""),8378.7)</f>
        <v>8378.7</v>
      </c>
      <c r="Y17" s="6">
        <f>IFERROR(__xludf.DUMMYFUNCTION("""COMPUTED_VALUE"""),8303.95)</f>
        <v>8303.95</v>
      </c>
      <c r="Z17" s="6">
        <f>IFERROR(__xludf.DUMMYFUNCTION("""COMPUTED_VALUE"""),8528.75)</f>
        <v>8528.75</v>
      </c>
      <c r="AA17" s="6">
        <f>IFERROR(__xludf.DUMMYFUNCTION("""COMPUTED_VALUE"""),8581.3)</f>
        <v>8581.3</v>
      </c>
      <c r="AB17" s="6">
        <f>IFERROR(__xludf.DUMMYFUNCTION("""COMPUTED_VALUE"""),8563.2)</f>
        <v>8563.2</v>
      </c>
      <c r="AC17" s="6">
        <f>IFERROR(__xludf.DUMMYFUNCTION("""COMPUTED_VALUE"""),8713.1)</f>
        <v>8713.1</v>
      </c>
      <c r="AD17" s="6">
        <f>IFERROR(__xludf.DUMMYFUNCTION("""COMPUTED_VALUE"""),8770.7)</f>
        <v>8770.7</v>
      </c>
      <c r="AE17" s="6">
        <f>IFERROR(__xludf.DUMMYFUNCTION("""COMPUTED_VALUE"""),8716.5)</f>
        <v>8716.5</v>
      </c>
      <c r="AF17" s="6">
        <f>IFERROR(__xludf.DUMMYFUNCTION("""COMPUTED_VALUE"""),8716.5)</f>
        <v>8716.5</v>
      </c>
      <c r="AG17" s="6">
        <f t="shared" ref="AG17:BF17" si="18">F17/F$2</f>
        <v>0.3450628124</v>
      </c>
      <c r="AH17" s="6">
        <f t="shared" si="18"/>
        <v>0.3395098018</v>
      </c>
      <c r="AI17" s="6">
        <f t="shared" si="18"/>
        <v>0.3328971097</v>
      </c>
      <c r="AJ17" s="6">
        <f t="shared" si="18"/>
        <v>0.3360318401</v>
      </c>
      <c r="AK17" s="6">
        <f t="shared" si="18"/>
        <v>0.3369077307</v>
      </c>
      <c r="AL17" s="6">
        <f t="shared" si="18"/>
        <v>0.3377066714</v>
      </c>
      <c r="AM17" s="6">
        <f t="shared" si="18"/>
        <v>0.3375373641</v>
      </c>
      <c r="AN17" s="6">
        <f t="shared" si="18"/>
        <v>0.3428013832</v>
      </c>
      <c r="AO17" s="6">
        <f t="shared" si="18"/>
        <v>0.3429080402</v>
      </c>
      <c r="AP17" s="6">
        <f t="shared" si="18"/>
        <v>0.3440581583</v>
      </c>
      <c r="AQ17" s="6">
        <f t="shared" si="18"/>
        <v>0.3463664257</v>
      </c>
      <c r="AR17" s="6">
        <f t="shared" si="18"/>
        <v>0.3423699674</v>
      </c>
      <c r="AS17" s="6">
        <f t="shared" si="18"/>
        <v>0.3427569511</v>
      </c>
      <c r="AT17" s="6">
        <f t="shared" si="18"/>
        <v>0.3497410876</v>
      </c>
      <c r="AU17" s="6">
        <f t="shared" si="18"/>
        <v>0.3510060192</v>
      </c>
      <c r="AV17" s="6">
        <f t="shared" si="18"/>
        <v>0.3534538467</v>
      </c>
      <c r="AW17" s="6">
        <f t="shared" si="18"/>
        <v>0.3546058037</v>
      </c>
      <c r="AX17" s="6">
        <f t="shared" si="18"/>
        <v>0.3655693763</v>
      </c>
      <c r="AY17" s="6">
        <f t="shared" si="18"/>
        <v>0.3609182876</v>
      </c>
      <c r="AZ17" s="6">
        <f t="shared" si="18"/>
        <v>0.3585222955</v>
      </c>
      <c r="BA17" s="6">
        <f t="shared" si="18"/>
        <v>0.3610373832</v>
      </c>
      <c r="BB17" s="6">
        <f t="shared" si="18"/>
        <v>0.3597441089</v>
      </c>
      <c r="BC17" s="6">
        <f t="shared" si="18"/>
        <v>0.3569613763</v>
      </c>
      <c r="BD17" s="6">
        <f t="shared" si="18"/>
        <v>0.3617540698</v>
      </c>
      <c r="BE17" s="6">
        <f t="shared" si="18"/>
        <v>0.3629054949</v>
      </c>
      <c r="BF17" s="6">
        <f t="shared" si="18"/>
        <v>0.3629893683</v>
      </c>
    </row>
    <row r="18">
      <c r="A18" s="1" t="s">
        <v>20</v>
      </c>
      <c r="B18" s="6"/>
      <c r="C18" s="5">
        <f t="shared" si="11"/>
        <v>0.16</v>
      </c>
      <c r="D18" s="7" t="s">
        <v>19</v>
      </c>
      <c r="E18" s="6" t="str">
        <f>IFERROR(__xludf.DUMMYFUNCTION("GOOGLEFINANCE(D18, ""name"")
"),"Nifty Pharma")</f>
        <v>Nifty Pharma</v>
      </c>
      <c r="F18" s="6">
        <f>IFERROR(__xludf.DUMMYFUNCTION("{TRANSPOSE(QUERY(GOOGLEFINANCE(D18, ""close"", WORKDAY(TODAY(), -27), TODAY()-1), ""SELECT Col2 OFFSET 1"", 0)), GOOGLEFINANCE(D18, ""price"")}"),24551.05)</f>
        <v>24551.05</v>
      </c>
      <c r="G18" s="6">
        <f>IFERROR(__xludf.DUMMYFUNCTION("""COMPUTED_VALUE"""),24634.8)</f>
        <v>24634.8</v>
      </c>
      <c r="H18" s="6">
        <f>IFERROR(__xludf.DUMMYFUNCTION("""COMPUTED_VALUE"""),24762.85)</f>
        <v>24762.85</v>
      </c>
      <c r="I18" s="6">
        <f>IFERROR(__xludf.DUMMYFUNCTION("""COMPUTED_VALUE"""),24867.4)</f>
        <v>24867.4</v>
      </c>
      <c r="J18" s="6">
        <f>IFERROR(__xludf.DUMMYFUNCTION("""COMPUTED_VALUE"""),24843.15)</f>
        <v>24843.15</v>
      </c>
      <c r="K18" s="6">
        <f>IFERROR(__xludf.DUMMYFUNCTION("""COMPUTED_VALUE"""),24890.9)</f>
        <v>24890.9</v>
      </c>
      <c r="L18" s="6">
        <f>IFERROR(__xludf.DUMMYFUNCTION("""COMPUTED_VALUE"""),24573.95)</f>
        <v>24573.95</v>
      </c>
      <c r="M18" s="6">
        <f>IFERROR(__xludf.DUMMYFUNCTION("""COMPUTED_VALUE"""),24674.7)</f>
        <v>24674.7</v>
      </c>
      <c r="N18" s="6">
        <f>IFERROR(__xludf.DUMMYFUNCTION("""COMPUTED_VALUE"""),24659.2)</f>
        <v>24659.2</v>
      </c>
      <c r="O18" s="6">
        <f>IFERROR(__xludf.DUMMYFUNCTION("""COMPUTED_VALUE"""),24716.0)</f>
        <v>24716</v>
      </c>
      <c r="P18" s="6">
        <f>IFERROR(__xludf.DUMMYFUNCTION("""COMPUTED_VALUE"""),24345.8)</f>
        <v>24345.8</v>
      </c>
      <c r="Q18" s="6">
        <f>IFERROR(__xludf.DUMMYFUNCTION("""COMPUTED_VALUE"""),24214.25)</f>
        <v>24214.25</v>
      </c>
      <c r="R18" s="6">
        <f>IFERROR(__xludf.DUMMYFUNCTION("""COMPUTED_VALUE"""),24006.3)</f>
        <v>24006.3</v>
      </c>
      <c r="S18" s="6">
        <f>IFERROR(__xludf.DUMMYFUNCTION("""COMPUTED_VALUE"""),24086.6)</f>
        <v>24086.6</v>
      </c>
      <c r="T18" s="6">
        <f>IFERROR(__xludf.DUMMYFUNCTION("""COMPUTED_VALUE"""),24177.95)</f>
        <v>24177.95</v>
      </c>
      <c r="U18" s="6">
        <f>IFERROR(__xludf.DUMMYFUNCTION("""COMPUTED_VALUE"""),24248.05)</f>
        <v>24248.05</v>
      </c>
      <c r="V18" s="6">
        <f>IFERROR(__xludf.DUMMYFUNCTION("""COMPUTED_VALUE"""),24147.65)</f>
        <v>24147.65</v>
      </c>
      <c r="W18" s="6">
        <f>IFERROR(__xludf.DUMMYFUNCTION("""COMPUTED_VALUE"""),24290.3)</f>
        <v>24290.3</v>
      </c>
      <c r="X18" s="6">
        <f>IFERROR(__xludf.DUMMYFUNCTION("""COMPUTED_VALUE"""),24160.75)</f>
        <v>24160.75</v>
      </c>
      <c r="Y18" s="6">
        <f>IFERROR(__xludf.DUMMYFUNCTION("""COMPUTED_VALUE"""),24306.95)</f>
        <v>24306.95</v>
      </c>
      <c r="Z18" s="6">
        <f>IFERROR(__xludf.DUMMYFUNCTION("""COMPUTED_VALUE"""),24380.05)</f>
        <v>24380.05</v>
      </c>
      <c r="AA18" s="6">
        <f>IFERROR(__xludf.DUMMYFUNCTION("""COMPUTED_VALUE"""),24220.1)</f>
        <v>24220.1</v>
      </c>
      <c r="AB18" s="6">
        <f>IFERROR(__xludf.DUMMYFUNCTION("""COMPUTED_VALUE"""),24157.85)</f>
        <v>24157.85</v>
      </c>
      <c r="AC18" s="6">
        <f>IFERROR(__xludf.DUMMYFUNCTION("""COMPUTED_VALUE"""),24146.55)</f>
        <v>24146.55</v>
      </c>
      <c r="AD18" s="6">
        <f>IFERROR(__xludf.DUMMYFUNCTION("""COMPUTED_VALUE"""),24282.2)</f>
        <v>24282.2</v>
      </c>
      <c r="AE18" s="6">
        <f>IFERROR(__xludf.DUMMYFUNCTION("""COMPUTED_VALUE"""),24460.3)</f>
        <v>24460.3</v>
      </c>
      <c r="AF18" s="6">
        <f>IFERROR(__xludf.DUMMYFUNCTION("""COMPUTED_VALUE"""),24460.3)</f>
        <v>24460.3</v>
      </c>
      <c r="AG18" s="6">
        <f t="shared" ref="AG18:BF18" si="19">F18/F$2</f>
        <v>1.036364058</v>
      </c>
      <c r="AH18" s="6">
        <f t="shared" si="19"/>
        <v>1.041926957</v>
      </c>
      <c r="AI18" s="6">
        <f t="shared" si="19"/>
        <v>1.047057182</v>
      </c>
      <c r="AJ18" s="6">
        <f t="shared" si="19"/>
        <v>1.05290033</v>
      </c>
      <c r="AK18" s="6">
        <f t="shared" si="19"/>
        <v>1.050050721</v>
      </c>
      <c r="AL18" s="6">
        <f t="shared" si="19"/>
        <v>1.052260227</v>
      </c>
      <c r="AM18" s="6">
        <f t="shared" si="19"/>
        <v>1.036031839</v>
      </c>
      <c r="AN18" s="6">
        <f t="shared" si="19"/>
        <v>1.026756326</v>
      </c>
      <c r="AO18" s="6">
        <f t="shared" si="19"/>
        <v>1.031174599</v>
      </c>
      <c r="AP18" s="6">
        <f t="shared" si="19"/>
        <v>1.033832975</v>
      </c>
      <c r="AQ18" s="6">
        <f t="shared" si="19"/>
        <v>1.033890711</v>
      </c>
      <c r="AR18" s="6">
        <f t="shared" si="19"/>
        <v>1.035567046</v>
      </c>
      <c r="AS18" s="6">
        <f t="shared" si="19"/>
        <v>1.022260263</v>
      </c>
      <c r="AT18" s="6">
        <f t="shared" si="19"/>
        <v>1.029095601</v>
      </c>
      <c r="AU18" s="6">
        <f t="shared" si="19"/>
        <v>1.032515464</v>
      </c>
      <c r="AV18" s="6">
        <f t="shared" si="19"/>
        <v>1.037718206</v>
      </c>
      <c r="AW18" s="6">
        <f t="shared" si="19"/>
        <v>1.044313022</v>
      </c>
      <c r="AX18" s="6">
        <f t="shared" si="19"/>
        <v>1.045099195</v>
      </c>
      <c r="AY18" s="6">
        <f t="shared" si="19"/>
        <v>1.040740988</v>
      </c>
      <c r="AZ18" s="6">
        <f t="shared" si="19"/>
        <v>1.049450383</v>
      </c>
      <c r="BA18" s="6">
        <f t="shared" si="19"/>
        <v>1.032051526</v>
      </c>
      <c r="BB18" s="6">
        <f t="shared" si="19"/>
        <v>1.015351787</v>
      </c>
      <c r="BC18" s="6">
        <f t="shared" si="19"/>
        <v>1.007032346</v>
      </c>
      <c r="BD18" s="6">
        <f t="shared" si="19"/>
        <v>1.002526395</v>
      </c>
      <c r="BE18" s="6">
        <f t="shared" si="19"/>
        <v>1.004725257</v>
      </c>
      <c r="BF18" s="6">
        <f t="shared" si="19"/>
        <v>1.018623168</v>
      </c>
    </row>
    <row r="19">
      <c r="A19" s="1" t="s">
        <v>21</v>
      </c>
      <c r="B19" s="6"/>
      <c r="C19" s="5">
        <f t="shared" si="11"/>
        <v>0.12</v>
      </c>
      <c r="D19" s="1" t="s">
        <v>20</v>
      </c>
      <c r="E19" s="6" t="str">
        <f>IFERROR(__xludf.DUMMYFUNCTION("GOOGLEFINANCE(D19, ""name"")
"),"Nifty Commodities")</f>
        <v>Nifty Commodities</v>
      </c>
      <c r="F19" s="6">
        <f>IFERROR(__xludf.DUMMYFUNCTION("{TRANSPOSE(QUERY(GOOGLEFINANCE(D19, ""close"", WORKDAY(TODAY(), -27), TODAY()-1), ""SELECT Col2 OFFSET 1"", 0)), GOOGLEFINANCE(D19, ""price"")}"),10338.45)</f>
        <v>10338.45</v>
      </c>
      <c r="G19" s="6">
        <f>IFERROR(__xludf.DUMMYFUNCTION("""COMPUTED_VALUE"""),10205.4)</f>
        <v>10205.4</v>
      </c>
      <c r="H19" s="6">
        <f>IFERROR(__xludf.DUMMYFUNCTION("""COMPUTED_VALUE"""),10138.8)</f>
        <v>10138.8</v>
      </c>
      <c r="I19" s="6">
        <f>IFERROR(__xludf.DUMMYFUNCTION("""COMPUTED_VALUE"""),10134.6)</f>
        <v>10134.6</v>
      </c>
      <c r="J19" s="6">
        <f>IFERROR(__xludf.DUMMYFUNCTION("""COMPUTED_VALUE"""),10201.9)</f>
        <v>10201.9</v>
      </c>
      <c r="K19" s="6">
        <f>IFERROR(__xludf.DUMMYFUNCTION("""COMPUTED_VALUE"""),10228.55)</f>
        <v>10228.55</v>
      </c>
      <c r="L19" s="6">
        <f>IFERROR(__xludf.DUMMYFUNCTION("""COMPUTED_VALUE"""),10242.7)</f>
        <v>10242.7</v>
      </c>
      <c r="M19" s="6">
        <f>IFERROR(__xludf.DUMMYFUNCTION("""COMPUTED_VALUE"""),10345.5)</f>
        <v>10345.5</v>
      </c>
      <c r="N19" s="6">
        <f>IFERROR(__xludf.DUMMYFUNCTION("""COMPUTED_VALUE"""),10395.3)</f>
        <v>10395.3</v>
      </c>
      <c r="O19" s="6">
        <f>IFERROR(__xludf.DUMMYFUNCTION("""COMPUTED_VALUE"""),10503.2)</f>
        <v>10503.2</v>
      </c>
      <c r="P19" s="6">
        <f>IFERROR(__xludf.DUMMYFUNCTION("""COMPUTED_VALUE"""),10295.0)</f>
        <v>10295</v>
      </c>
      <c r="Q19" s="6">
        <f>IFERROR(__xludf.DUMMYFUNCTION("""COMPUTED_VALUE"""),10242.1)</f>
        <v>10242.1</v>
      </c>
      <c r="R19" s="6">
        <f>IFERROR(__xludf.DUMMYFUNCTION("""COMPUTED_VALUE"""),10222.65)</f>
        <v>10222.65</v>
      </c>
      <c r="S19" s="6">
        <f>IFERROR(__xludf.DUMMYFUNCTION("""COMPUTED_VALUE"""),10203.8)</f>
        <v>10203.8</v>
      </c>
      <c r="T19" s="6">
        <f>IFERROR(__xludf.DUMMYFUNCTION("""COMPUTED_VALUE"""),10181.95)</f>
        <v>10181.95</v>
      </c>
      <c r="U19" s="6">
        <f>IFERROR(__xludf.DUMMYFUNCTION("""COMPUTED_VALUE"""),10103.3)</f>
        <v>10103.3</v>
      </c>
      <c r="V19" s="6">
        <f>IFERROR(__xludf.DUMMYFUNCTION("""COMPUTED_VALUE"""),9942.15)</f>
        <v>9942.15</v>
      </c>
      <c r="W19" s="6">
        <f>IFERROR(__xludf.DUMMYFUNCTION("""COMPUTED_VALUE"""),9973.3)</f>
        <v>9973.3</v>
      </c>
      <c r="X19" s="6">
        <f>IFERROR(__xludf.DUMMYFUNCTION("""COMPUTED_VALUE"""),9819.25)</f>
        <v>9819.25</v>
      </c>
      <c r="Y19" s="6">
        <f>IFERROR(__xludf.DUMMYFUNCTION("""COMPUTED_VALUE"""),9760.3)</f>
        <v>9760.3</v>
      </c>
      <c r="Z19" s="6">
        <f>IFERROR(__xludf.DUMMYFUNCTION("""COMPUTED_VALUE"""),9896.45)</f>
        <v>9896.45</v>
      </c>
      <c r="AA19" s="6">
        <f>IFERROR(__xludf.DUMMYFUNCTION("""COMPUTED_VALUE"""),10022.05)</f>
        <v>10022.05</v>
      </c>
      <c r="AB19" s="6">
        <f>IFERROR(__xludf.DUMMYFUNCTION("""COMPUTED_VALUE"""),10008.95)</f>
        <v>10008.95</v>
      </c>
      <c r="AC19" s="6">
        <f>IFERROR(__xludf.DUMMYFUNCTION("""COMPUTED_VALUE"""),10044.45)</f>
        <v>10044.45</v>
      </c>
      <c r="AD19" s="6">
        <f>IFERROR(__xludf.DUMMYFUNCTION("""COMPUTED_VALUE"""),10090.0)</f>
        <v>10090</v>
      </c>
      <c r="AE19" s="6">
        <f>IFERROR(__xludf.DUMMYFUNCTION("""COMPUTED_VALUE"""),10055.8)</f>
        <v>10055.8</v>
      </c>
      <c r="AF19" s="6">
        <f>IFERROR(__xludf.DUMMYFUNCTION("""COMPUTED_VALUE"""),10055.8)</f>
        <v>10055.8</v>
      </c>
      <c r="AG19" s="6">
        <f t="shared" ref="AG19:BF19" si="20">F19/F$2</f>
        <v>0.4364130251</v>
      </c>
      <c r="AH19" s="6">
        <f t="shared" si="20"/>
        <v>0.431636602</v>
      </c>
      <c r="AI19" s="6">
        <f t="shared" si="20"/>
        <v>0.4287028091</v>
      </c>
      <c r="AJ19" s="6">
        <f t="shared" si="20"/>
        <v>0.42910492</v>
      </c>
      <c r="AK19" s="6">
        <f t="shared" si="20"/>
        <v>0.4312058836</v>
      </c>
      <c r="AL19" s="6">
        <f t="shared" si="20"/>
        <v>0.4324108951</v>
      </c>
      <c r="AM19" s="6">
        <f t="shared" si="20"/>
        <v>0.4318297758</v>
      </c>
      <c r="AN19" s="6">
        <f t="shared" si="20"/>
        <v>0.4304938893</v>
      </c>
      <c r="AO19" s="6">
        <f t="shared" si="20"/>
        <v>0.4347006109</v>
      </c>
      <c r="AP19" s="6">
        <f t="shared" si="20"/>
        <v>0.4393330029</v>
      </c>
      <c r="AQ19" s="6">
        <f t="shared" si="20"/>
        <v>0.4371967598</v>
      </c>
      <c r="AR19" s="6">
        <f t="shared" si="20"/>
        <v>0.4380222901</v>
      </c>
      <c r="AS19" s="6">
        <f t="shared" si="20"/>
        <v>0.4353111007</v>
      </c>
      <c r="AT19" s="6">
        <f t="shared" si="20"/>
        <v>0.4359554978</v>
      </c>
      <c r="AU19" s="6">
        <f t="shared" si="20"/>
        <v>0.4348185365</v>
      </c>
      <c r="AV19" s="6">
        <f t="shared" si="20"/>
        <v>0.4323802676</v>
      </c>
      <c r="AW19" s="6">
        <f t="shared" si="20"/>
        <v>0.4299679972</v>
      </c>
      <c r="AX19" s="6">
        <f t="shared" si="20"/>
        <v>0.4291049432</v>
      </c>
      <c r="AY19" s="6">
        <f t="shared" si="20"/>
        <v>0.4229709734</v>
      </c>
      <c r="AZ19" s="6">
        <f t="shared" si="20"/>
        <v>0.421400076</v>
      </c>
      <c r="BA19" s="6">
        <f t="shared" si="20"/>
        <v>0.4189345931</v>
      </c>
      <c r="BB19" s="6">
        <f t="shared" si="20"/>
        <v>0.4201430374</v>
      </c>
      <c r="BC19" s="6">
        <f t="shared" si="20"/>
        <v>0.4172282053</v>
      </c>
      <c r="BD19" s="6">
        <f t="shared" si="20"/>
        <v>0.4170296068</v>
      </c>
      <c r="BE19" s="6">
        <f t="shared" si="20"/>
        <v>0.4174942072</v>
      </c>
      <c r="BF19" s="6">
        <f t="shared" si="20"/>
        <v>0.4187630918</v>
      </c>
    </row>
    <row r="20">
      <c r="A20" s="1" t="s">
        <v>22</v>
      </c>
      <c r="B20" s="6"/>
      <c r="C20" s="5">
        <f t="shared" si="11"/>
        <v>0.88</v>
      </c>
      <c r="D20" s="1" t="s">
        <v>21</v>
      </c>
      <c r="E20" s="6" t="str">
        <f>IFERROR(__xludf.DUMMYFUNCTION("GOOGLEFINANCE(D20, ""name"")
"),"Nifty Private Bank")</f>
        <v>Nifty Private Bank</v>
      </c>
      <c r="F20" s="6">
        <f>IFERROR(__xludf.DUMMYFUNCTION("{TRANSPOSE(QUERY(GOOGLEFINANCE(D20, ""close"", WORKDAY(TODAY(), -27), TODAY()-1), ""SELECT Col2 OFFSET 1"", 0)), GOOGLEFINANCE(D20, ""price"")}"),26155.6)</f>
        <v>26155.6</v>
      </c>
      <c r="G20" s="6">
        <f>IFERROR(__xludf.DUMMYFUNCTION("""COMPUTED_VALUE"""),26100.1)</f>
        <v>26100.1</v>
      </c>
      <c r="H20" s="6">
        <f>IFERROR(__xludf.DUMMYFUNCTION("""COMPUTED_VALUE"""),26159.95)</f>
        <v>26159.95</v>
      </c>
      <c r="I20" s="6">
        <f>IFERROR(__xludf.DUMMYFUNCTION("""COMPUTED_VALUE"""),25965.5)</f>
        <v>25965.5</v>
      </c>
      <c r="J20" s="6">
        <f>IFERROR(__xludf.DUMMYFUNCTION("""COMPUTED_VALUE"""),26029.5)</f>
        <v>26029.5</v>
      </c>
      <c r="K20" s="6">
        <f>IFERROR(__xludf.DUMMYFUNCTION("""COMPUTED_VALUE"""),25990.05)</f>
        <v>25990.05</v>
      </c>
      <c r="L20" s="6">
        <f>IFERROR(__xludf.DUMMYFUNCTION("""COMPUTED_VALUE"""),26376.2)</f>
        <v>26376.2</v>
      </c>
      <c r="M20" s="6">
        <f>IFERROR(__xludf.DUMMYFUNCTION("""COMPUTED_VALUE"""),26927.1)</f>
        <v>26927.1</v>
      </c>
      <c r="N20" s="6">
        <f>IFERROR(__xludf.DUMMYFUNCTION("""COMPUTED_VALUE"""),26760.8)</f>
        <v>26760.8</v>
      </c>
      <c r="O20" s="6">
        <f>IFERROR(__xludf.DUMMYFUNCTION("""COMPUTED_VALUE"""),26638.8)</f>
        <v>26638.8</v>
      </c>
      <c r="P20" s="6">
        <f>IFERROR(__xludf.DUMMYFUNCTION("""COMPUTED_VALUE"""),26326.4)</f>
        <v>26326.4</v>
      </c>
      <c r="Q20" s="6">
        <f>IFERROR(__xludf.DUMMYFUNCTION("""COMPUTED_VALUE"""),26068.0)</f>
        <v>26068</v>
      </c>
      <c r="R20" s="6">
        <f>IFERROR(__xludf.DUMMYFUNCTION("""COMPUTED_VALUE"""),26011.3)</f>
        <v>26011.3</v>
      </c>
      <c r="S20" s="6">
        <f>IFERROR(__xludf.DUMMYFUNCTION("""COMPUTED_VALUE"""),26193.4)</f>
        <v>26193.4</v>
      </c>
      <c r="T20" s="6">
        <f>IFERROR(__xludf.DUMMYFUNCTION("""COMPUTED_VALUE"""),26238.5)</f>
        <v>26238.5</v>
      </c>
      <c r="U20" s="6">
        <f>IFERROR(__xludf.DUMMYFUNCTION("""COMPUTED_VALUE"""),26299.25)</f>
        <v>26299.25</v>
      </c>
      <c r="V20" s="6">
        <f>IFERROR(__xludf.DUMMYFUNCTION("""COMPUTED_VALUE"""),26122.4)</f>
        <v>26122.4</v>
      </c>
      <c r="W20" s="6">
        <f>IFERROR(__xludf.DUMMYFUNCTION("""COMPUTED_VALUE"""),26549.8)</f>
        <v>26549.8</v>
      </c>
      <c r="X20" s="6">
        <f>IFERROR(__xludf.DUMMYFUNCTION("""COMPUTED_VALUE"""),26740.3)</f>
        <v>26740.3</v>
      </c>
      <c r="Y20" s="6">
        <f>IFERROR(__xludf.DUMMYFUNCTION("""COMPUTED_VALUE"""),26886.3)</f>
        <v>26886.3</v>
      </c>
      <c r="Z20" s="6">
        <f>IFERROR(__xludf.DUMMYFUNCTION("""COMPUTED_VALUE"""),27649.7)</f>
        <v>27649.7</v>
      </c>
      <c r="AA20" s="6">
        <f>IFERROR(__xludf.DUMMYFUNCTION("""COMPUTED_VALUE"""),27811.6)</f>
        <v>27811.6</v>
      </c>
      <c r="AB20" s="6">
        <f>IFERROR(__xludf.DUMMYFUNCTION("""COMPUTED_VALUE"""),27916.9)</f>
        <v>27916.9</v>
      </c>
      <c r="AC20" s="6">
        <f>IFERROR(__xludf.DUMMYFUNCTION("""COMPUTED_VALUE"""),27893.3)</f>
        <v>27893.3</v>
      </c>
      <c r="AD20" s="6">
        <f>IFERROR(__xludf.DUMMYFUNCTION("""COMPUTED_VALUE"""),28031.35)</f>
        <v>28031.35</v>
      </c>
      <c r="AE20" s="6">
        <f>IFERROR(__xludf.DUMMYFUNCTION("""COMPUTED_VALUE"""),27892.05)</f>
        <v>27892.05</v>
      </c>
      <c r="AF20" s="6">
        <f>IFERROR(__xludf.DUMMYFUNCTION("""COMPUTED_VALUE"""),27892.05)</f>
        <v>27892.05</v>
      </c>
      <c r="AG20" s="6">
        <f t="shared" ref="AG20:BF20" si="21">F20/F$2</f>
        <v>1.104096312</v>
      </c>
      <c r="AH20" s="6">
        <f t="shared" si="21"/>
        <v>1.103901707</v>
      </c>
      <c r="AI20" s="6">
        <f t="shared" si="21"/>
        <v>1.106131303</v>
      </c>
      <c r="AJ20" s="6">
        <f t="shared" si="21"/>
        <v>1.09939453</v>
      </c>
      <c r="AK20" s="6">
        <f t="shared" si="21"/>
        <v>1.100194429</v>
      </c>
      <c r="AL20" s="6">
        <f t="shared" si="21"/>
        <v>1.09872668</v>
      </c>
      <c r="AM20" s="6">
        <f t="shared" si="21"/>
        <v>1.112014267</v>
      </c>
      <c r="AN20" s="6">
        <f t="shared" si="21"/>
        <v>1.120482529</v>
      </c>
      <c r="AO20" s="6">
        <f t="shared" si="21"/>
        <v>1.119057277</v>
      </c>
      <c r="AP20" s="6">
        <f t="shared" si="21"/>
        <v>1.114260796</v>
      </c>
      <c r="AQ20" s="6">
        <f t="shared" si="21"/>
        <v>1.118000658</v>
      </c>
      <c r="AR20" s="6">
        <f t="shared" si="21"/>
        <v>1.114846082</v>
      </c>
      <c r="AS20" s="6">
        <f t="shared" si="21"/>
        <v>1.107639177</v>
      </c>
      <c r="AT20" s="6">
        <f t="shared" si="21"/>
        <v>1.119108248</v>
      </c>
      <c r="AU20" s="6">
        <f t="shared" si="21"/>
        <v>1.120510921</v>
      </c>
      <c r="AV20" s="6">
        <f t="shared" si="21"/>
        <v>1.125501248</v>
      </c>
      <c r="AW20" s="6">
        <f t="shared" si="21"/>
        <v>1.129715002</v>
      </c>
      <c r="AX20" s="6">
        <f t="shared" si="21"/>
        <v>1.142315023</v>
      </c>
      <c r="AY20" s="6">
        <f t="shared" si="21"/>
        <v>1.151856885</v>
      </c>
      <c r="AZ20" s="6">
        <f t="shared" si="21"/>
        <v>1.160813588</v>
      </c>
      <c r="BA20" s="6">
        <f t="shared" si="21"/>
        <v>1.170461713</v>
      </c>
      <c r="BB20" s="6">
        <f t="shared" si="21"/>
        <v>1.165914169</v>
      </c>
      <c r="BC20" s="6">
        <f t="shared" si="21"/>
        <v>1.16373027</v>
      </c>
      <c r="BD20" s="6">
        <f t="shared" si="21"/>
        <v>1.158085503</v>
      </c>
      <c r="BE20" s="6">
        <f t="shared" si="21"/>
        <v>1.159853939</v>
      </c>
      <c r="BF20" s="6">
        <f t="shared" si="21"/>
        <v>1.161534746</v>
      </c>
    </row>
    <row r="21">
      <c r="A21" s="1" t="s">
        <v>23</v>
      </c>
      <c r="B21" s="6"/>
      <c r="C21" s="5">
        <f t="shared" si="11"/>
        <v>0.8</v>
      </c>
      <c r="D21" s="1" t="s">
        <v>22</v>
      </c>
      <c r="E21" s="6" t="str">
        <f>IFERROR(__xludf.DUMMYFUNCTION("GOOGLEFINANCE(D21, ""name"")
"),"Nifty Services Sector")</f>
        <v>Nifty Services Sector</v>
      </c>
      <c r="F21" s="6">
        <f>IFERROR(__xludf.DUMMYFUNCTION("{TRANSPOSE(QUERY(GOOGLEFINANCE(D21, ""close"", WORKDAY(TODAY(), -27), TODAY()-1), ""SELECT Col2 OFFSET 1"", 0)), GOOGLEFINANCE(D21, ""price"")}"),29684.5)</f>
        <v>29684.5</v>
      </c>
      <c r="G21" s="6">
        <f>IFERROR(__xludf.DUMMYFUNCTION("""COMPUTED_VALUE"""),29702.95)</f>
        <v>29702.95</v>
      </c>
      <c r="H21" s="6">
        <f>IFERROR(__xludf.DUMMYFUNCTION("""COMPUTED_VALUE"""),29801.35)</f>
        <v>29801.35</v>
      </c>
      <c r="I21" s="6">
        <f>IFERROR(__xludf.DUMMYFUNCTION("""COMPUTED_VALUE"""),29848.7)</f>
        <v>29848.7</v>
      </c>
      <c r="J21" s="6">
        <f>IFERROR(__xludf.DUMMYFUNCTION("""COMPUTED_VALUE"""),29819.4)</f>
        <v>29819.4</v>
      </c>
      <c r="K21" s="6">
        <f>IFERROR(__xludf.DUMMYFUNCTION("""COMPUTED_VALUE"""),29771.7)</f>
        <v>29771.7</v>
      </c>
      <c r="L21" s="6">
        <f>IFERROR(__xludf.DUMMYFUNCTION("""COMPUTED_VALUE"""),29932.65)</f>
        <v>29932.65</v>
      </c>
      <c r="M21" s="6">
        <f>IFERROR(__xludf.DUMMYFUNCTION("""COMPUTED_VALUE"""),30388.0)</f>
        <v>30388</v>
      </c>
      <c r="N21" s="6">
        <f>IFERROR(__xludf.DUMMYFUNCTION("""COMPUTED_VALUE"""),30207.1)</f>
        <v>30207.1</v>
      </c>
      <c r="O21" s="6">
        <f>IFERROR(__xludf.DUMMYFUNCTION("""COMPUTED_VALUE"""),30104.55)</f>
        <v>30104.55</v>
      </c>
      <c r="P21" s="6">
        <f>IFERROR(__xludf.DUMMYFUNCTION("""COMPUTED_VALUE"""),29685.15)</f>
        <v>29685.15</v>
      </c>
      <c r="Q21" s="6">
        <f>IFERROR(__xludf.DUMMYFUNCTION("""COMPUTED_VALUE"""),29519.0)</f>
        <v>29519</v>
      </c>
      <c r="R21" s="6">
        <f>IFERROR(__xludf.DUMMYFUNCTION("""COMPUTED_VALUE"""),29659.05)</f>
        <v>29659.05</v>
      </c>
      <c r="S21" s="6">
        <f>IFERROR(__xludf.DUMMYFUNCTION("""COMPUTED_VALUE"""),29556.25)</f>
        <v>29556.25</v>
      </c>
      <c r="T21" s="6">
        <f>IFERROR(__xludf.DUMMYFUNCTION("""COMPUTED_VALUE"""),29586.0)</f>
        <v>29586</v>
      </c>
      <c r="U21" s="6">
        <f>IFERROR(__xludf.DUMMYFUNCTION("""COMPUTED_VALUE"""),29517.65)</f>
        <v>29517.65</v>
      </c>
      <c r="V21" s="6">
        <f>IFERROR(__xludf.DUMMYFUNCTION("""COMPUTED_VALUE"""),29298.35)</f>
        <v>29298.35</v>
      </c>
      <c r="W21" s="6">
        <f>IFERROR(__xludf.DUMMYFUNCTION("""COMPUTED_VALUE"""),29477.7)</f>
        <v>29477.7</v>
      </c>
      <c r="X21" s="6">
        <f>IFERROR(__xludf.DUMMYFUNCTION("""COMPUTED_VALUE"""),29489.35)</f>
        <v>29489.35</v>
      </c>
      <c r="Y21" s="6">
        <f>IFERROR(__xludf.DUMMYFUNCTION("""COMPUTED_VALUE"""),29421.8)</f>
        <v>29421.8</v>
      </c>
      <c r="Z21" s="6">
        <f>IFERROR(__xludf.DUMMYFUNCTION("""COMPUTED_VALUE"""),30099.65)</f>
        <v>30099.65</v>
      </c>
      <c r="AA21" s="6">
        <f>IFERROR(__xludf.DUMMYFUNCTION("""COMPUTED_VALUE"""),30362.35)</f>
        <v>30362.35</v>
      </c>
      <c r="AB21" s="6">
        <f>IFERROR(__xludf.DUMMYFUNCTION("""COMPUTED_VALUE"""),30568.45)</f>
        <v>30568.45</v>
      </c>
      <c r="AC21" s="6">
        <f>IFERROR(__xludf.DUMMYFUNCTION("""COMPUTED_VALUE"""),30668.35)</f>
        <v>30668.35</v>
      </c>
      <c r="AD21" s="6">
        <f>IFERROR(__xludf.DUMMYFUNCTION("""COMPUTED_VALUE"""),30810.65)</f>
        <v>30810.65</v>
      </c>
      <c r="AE21" s="6">
        <f>IFERROR(__xludf.DUMMYFUNCTION("""COMPUTED_VALUE"""),30562.7)</f>
        <v>30562.7</v>
      </c>
      <c r="AF21" s="6">
        <f>IFERROR(__xludf.DUMMYFUNCTION("""COMPUTED_VALUE"""),30562.7)</f>
        <v>30562.7</v>
      </c>
      <c r="AG21" s="6">
        <f t="shared" ref="AG21:BF21" si="22">F21/F$2</f>
        <v>1.253060415</v>
      </c>
      <c r="AH21" s="6">
        <f t="shared" si="22"/>
        <v>1.256283968</v>
      </c>
      <c r="AI21" s="6">
        <f t="shared" si="22"/>
        <v>1.26010203</v>
      </c>
      <c r="AJ21" s="6">
        <f t="shared" si="22"/>
        <v>1.2638115</v>
      </c>
      <c r="AK21" s="6">
        <f t="shared" si="22"/>
        <v>1.260382941</v>
      </c>
      <c r="AL21" s="6">
        <f t="shared" si="22"/>
        <v>1.258595543</v>
      </c>
      <c r="AM21" s="6">
        <f t="shared" si="22"/>
        <v>1.261953346</v>
      </c>
      <c r="AN21" s="6">
        <f t="shared" si="22"/>
        <v>1.264496478</v>
      </c>
      <c r="AO21" s="6">
        <f t="shared" si="22"/>
        <v>1.26317132</v>
      </c>
      <c r="AP21" s="6">
        <f t="shared" si="22"/>
        <v>1.259227888</v>
      </c>
      <c r="AQ21" s="6">
        <f t="shared" si="22"/>
        <v>1.260636367</v>
      </c>
      <c r="AR21" s="6">
        <f t="shared" si="22"/>
        <v>1.26243446</v>
      </c>
      <c r="AS21" s="6">
        <f t="shared" si="22"/>
        <v>1.262971314</v>
      </c>
      <c r="AT21" s="6">
        <f t="shared" si="22"/>
        <v>1.262785402</v>
      </c>
      <c r="AU21" s="6">
        <f t="shared" si="22"/>
        <v>1.26346537</v>
      </c>
      <c r="AV21" s="6">
        <f t="shared" si="22"/>
        <v>1.263235716</v>
      </c>
      <c r="AW21" s="6">
        <f t="shared" si="22"/>
        <v>1.26706526</v>
      </c>
      <c r="AX21" s="6">
        <f t="shared" si="22"/>
        <v>1.26828901</v>
      </c>
      <c r="AY21" s="6">
        <f t="shared" si="22"/>
        <v>1.270274112</v>
      </c>
      <c r="AZ21" s="6">
        <f t="shared" si="22"/>
        <v>1.270283573</v>
      </c>
      <c r="BA21" s="6">
        <f t="shared" si="22"/>
        <v>1.274172519</v>
      </c>
      <c r="BB21" s="6">
        <f t="shared" si="22"/>
        <v>1.272846369</v>
      </c>
      <c r="BC21" s="6">
        <f t="shared" si="22"/>
        <v>1.274261489</v>
      </c>
      <c r="BD21" s="6">
        <f t="shared" si="22"/>
        <v>1.27330117</v>
      </c>
      <c r="BE21" s="6">
        <f t="shared" si="22"/>
        <v>1.274853112</v>
      </c>
      <c r="BF21" s="6">
        <f t="shared" si="22"/>
        <v>1.272751123</v>
      </c>
    </row>
    <row r="22">
      <c r="A22" s="1" t="s">
        <v>24</v>
      </c>
      <c r="B22" s="6"/>
      <c r="C22" s="5">
        <f t="shared" si="11"/>
        <v>0.2</v>
      </c>
      <c r="D22" s="1" t="s">
        <v>23</v>
      </c>
      <c r="E22" s="6" t="str">
        <f>IFERROR(__xludf.DUMMYFUNCTION("GOOGLEFINANCE(D22, ""name"")
"),"Cpse Etf")</f>
        <v>Cpse Etf</v>
      </c>
      <c r="F22" s="6">
        <f>IFERROR(__xludf.DUMMYFUNCTION("{TRANSPOSE(QUERY(GOOGLEFINANCE(D22, ""close"", WORKDAY(TODAY(), -27), TODAY()-1), ""SELECT Col2 OFFSET 1"", 0)), GOOGLEFINANCE(D22, ""price"")}"),106.1)</f>
        <v>106.1</v>
      </c>
      <c r="G22" s="6">
        <f>IFERROR(__xludf.DUMMYFUNCTION("""COMPUTED_VALUE"""),105.89)</f>
        <v>105.89</v>
      </c>
      <c r="H22" s="6">
        <f>IFERROR(__xludf.DUMMYFUNCTION("""COMPUTED_VALUE"""),104.68)</f>
        <v>104.68</v>
      </c>
      <c r="I22" s="6">
        <f>IFERROR(__xludf.DUMMYFUNCTION("""COMPUTED_VALUE"""),104.88)</f>
        <v>104.88</v>
      </c>
      <c r="J22" s="6">
        <f>IFERROR(__xludf.DUMMYFUNCTION("""COMPUTED_VALUE"""),104.67)</f>
        <v>104.67</v>
      </c>
      <c r="K22" s="6">
        <f>IFERROR(__xludf.DUMMYFUNCTION("""COMPUTED_VALUE"""),104.68)</f>
        <v>104.68</v>
      </c>
      <c r="L22" s="6">
        <f>IFERROR(__xludf.DUMMYFUNCTION("""COMPUTED_VALUE"""),103.81)</f>
        <v>103.81</v>
      </c>
      <c r="M22" s="6">
        <f>IFERROR(__xludf.DUMMYFUNCTION("""COMPUTED_VALUE"""),103.95)</f>
        <v>103.95</v>
      </c>
      <c r="N22" s="6">
        <f>IFERROR(__xludf.DUMMYFUNCTION("""COMPUTED_VALUE"""),103.58)</f>
        <v>103.58</v>
      </c>
      <c r="O22" s="6">
        <f>IFERROR(__xludf.DUMMYFUNCTION("""COMPUTED_VALUE"""),103.99)</f>
        <v>103.99</v>
      </c>
      <c r="P22" s="6">
        <f>IFERROR(__xludf.DUMMYFUNCTION("""COMPUTED_VALUE"""),101.69)</f>
        <v>101.69</v>
      </c>
      <c r="Q22" s="6">
        <f>IFERROR(__xludf.DUMMYFUNCTION("""COMPUTED_VALUE"""),100.96)</f>
        <v>100.96</v>
      </c>
      <c r="R22" s="6">
        <f>IFERROR(__xludf.DUMMYFUNCTION("""COMPUTED_VALUE"""),100.31)</f>
        <v>100.31</v>
      </c>
      <c r="S22" s="6">
        <f>IFERROR(__xludf.DUMMYFUNCTION("""COMPUTED_VALUE"""),100.62)</f>
        <v>100.62</v>
      </c>
      <c r="T22" s="6">
        <f>IFERROR(__xludf.DUMMYFUNCTION("""COMPUTED_VALUE"""),101.02)</f>
        <v>101.02</v>
      </c>
      <c r="U22" s="6">
        <f>IFERROR(__xludf.DUMMYFUNCTION("""COMPUTED_VALUE"""),100.17)</f>
        <v>100.17</v>
      </c>
      <c r="V22" s="6">
        <f>IFERROR(__xludf.DUMMYFUNCTION("""COMPUTED_VALUE"""),100.14)</f>
        <v>100.14</v>
      </c>
      <c r="W22" s="6">
        <f>IFERROR(__xludf.DUMMYFUNCTION("""COMPUTED_VALUE"""),99.21)</f>
        <v>99.21</v>
      </c>
      <c r="X22" s="6">
        <f>IFERROR(__xludf.DUMMYFUNCTION("""COMPUTED_VALUE"""),97.69)</f>
        <v>97.69</v>
      </c>
      <c r="Y22" s="6">
        <f>IFERROR(__xludf.DUMMYFUNCTION("""COMPUTED_VALUE"""),97.05)</f>
        <v>97.05</v>
      </c>
      <c r="Z22" s="6">
        <f>IFERROR(__xludf.DUMMYFUNCTION("""COMPUTED_VALUE"""),96.82)</f>
        <v>96.82</v>
      </c>
      <c r="AA22" s="6">
        <f>IFERROR(__xludf.DUMMYFUNCTION("""COMPUTED_VALUE"""),96.95)</f>
        <v>96.95</v>
      </c>
      <c r="AB22" s="6">
        <f>IFERROR(__xludf.DUMMYFUNCTION("""COMPUTED_VALUE"""),97.42)</f>
        <v>97.42</v>
      </c>
      <c r="AC22" s="6">
        <f>IFERROR(__xludf.DUMMYFUNCTION("""COMPUTED_VALUE"""),98.39)</f>
        <v>98.39</v>
      </c>
      <c r="AD22" s="6">
        <f>IFERROR(__xludf.DUMMYFUNCTION("""COMPUTED_VALUE"""),99.36)</f>
        <v>99.36</v>
      </c>
      <c r="AE22" s="6">
        <f>IFERROR(__xludf.DUMMYFUNCTION("""COMPUTED_VALUE"""),99.62)</f>
        <v>99.62</v>
      </c>
      <c r="AF22" s="6">
        <f>IFERROR(__xludf.DUMMYFUNCTION("""COMPUTED_VALUE"""),99.63)</f>
        <v>99.63</v>
      </c>
      <c r="AG22" s="6">
        <f t="shared" ref="AG22:BF22" si="23">F22/F$2</f>
        <v>0.004478758611</v>
      </c>
      <c r="AH22" s="6">
        <f t="shared" si="23"/>
        <v>0.004478609343</v>
      </c>
      <c r="AI22" s="6">
        <f t="shared" si="23"/>
        <v>0.004426225003</v>
      </c>
      <c r="AJ22" s="6">
        <f t="shared" si="23"/>
        <v>0.004440680837</v>
      </c>
      <c r="AK22" s="6">
        <f t="shared" si="23"/>
        <v>0.004424109218</v>
      </c>
      <c r="AL22" s="6">
        <f t="shared" si="23"/>
        <v>0.004425336191</v>
      </c>
      <c r="AM22" s="6">
        <f t="shared" si="23"/>
        <v>0.004376604706</v>
      </c>
      <c r="AN22" s="6">
        <f t="shared" si="23"/>
        <v>0.004325536687</v>
      </c>
      <c r="AO22" s="6">
        <f t="shared" si="23"/>
        <v>0.004331408356</v>
      </c>
      <c r="AP22" s="6">
        <f t="shared" si="23"/>
        <v>0.004349744742</v>
      </c>
      <c r="AQ22" s="6">
        <f t="shared" si="23"/>
        <v>0.004318459301</v>
      </c>
      <c r="AR22" s="6">
        <f t="shared" si="23"/>
        <v>0.004317740542</v>
      </c>
      <c r="AS22" s="6">
        <f t="shared" si="23"/>
        <v>0.004271500689</v>
      </c>
      <c r="AT22" s="6">
        <f t="shared" si="23"/>
        <v>0.004298971186</v>
      </c>
      <c r="AU22" s="6">
        <f t="shared" si="23"/>
        <v>0.004314042846</v>
      </c>
      <c r="AV22" s="6">
        <f t="shared" si="23"/>
        <v>0.004286869776</v>
      </c>
      <c r="AW22" s="6">
        <f t="shared" si="23"/>
        <v>0.00433075293</v>
      </c>
      <c r="AX22" s="6">
        <f t="shared" si="23"/>
        <v>0.004268547162</v>
      </c>
      <c r="AY22" s="6">
        <f t="shared" si="23"/>
        <v>0.0042080642</v>
      </c>
      <c r="AZ22" s="6">
        <f t="shared" si="23"/>
        <v>0.004190125035</v>
      </c>
      <c r="BA22" s="6">
        <f t="shared" si="23"/>
        <v>0.004098565375</v>
      </c>
      <c r="BB22" s="6">
        <f t="shared" si="23"/>
        <v>0.004064324911</v>
      </c>
      <c r="BC22" s="6">
        <f t="shared" si="23"/>
        <v>0.004061002578</v>
      </c>
      <c r="BD22" s="6">
        <f t="shared" si="23"/>
        <v>0.004084996492</v>
      </c>
      <c r="BE22" s="6">
        <f t="shared" si="23"/>
        <v>0.00411122145</v>
      </c>
      <c r="BF22" s="6">
        <f t="shared" si="23"/>
        <v>0.004148568906</v>
      </c>
    </row>
    <row r="23">
      <c r="A23" s="8"/>
      <c r="B23" s="6"/>
      <c r="C23" s="5">
        <f t="shared" si="11"/>
        <v>0</v>
      </c>
      <c r="D23" s="1" t="s">
        <v>24</v>
      </c>
      <c r="E23" s="6" t="str">
        <f>IFERROR(__xludf.DUMMYFUNCTION("GOOGLEFINANCE(D23, ""name"")
"),"Nippon India ETF Gold BeES")</f>
        <v>Nippon India ETF Gold BeES</v>
      </c>
      <c r="F23" s="6">
        <f>IFERROR(__xludf.DUMMYFUNCTION("{TRANSPOSE(QUERY(GOOGLEFINANCE(D23, ""close"", WORKDAY(TODAY(), -27), TODAY()-1), ""SELECT Col2 OFFSET 1"", 0)), GOOGLEFINANCE(D23, ""price"")}"),131.78)</f>
        <v>131.78</v>
      </c>
      <c r="G23" s="6">
        <f>IFERROR(__xludf.DUMMYFUNCTION("""COMPUTED_VALUE"""),129.41)</f>
        <v>129.41</v>
      </c>
      <c r="H23" s="6">
        <f>IFERROR(__xludf.DUMMYFUNCTION("""COMPUTED_VALUE"""),129.7)</f>
        <v>129.7</v>
      </c>
      <c r="I23" s="6">
        <f>IFERROR(__xludf.DUMMYFUNCTION("""COMPUTED_VALUE"""),130.64)</f>
        <v>130.64</v>
      </c>
      <c r="J23" s="6">
        <f>IFERROR(__xludf.DUMMYFUNCTION("""COMPUTED_VALUE"""),130.2)</f>
        <v>130.2</v>
      </c>
      <c r="K23" s="6">
        <f>IFERROR(__xludf.DUMMYFUNCTION("""COMPUTED_VALUE"""),130.74)</f>
        <v>130.74</v>
      </c>
      <c r="L23" s="6">
        <f>IFERROR(__xludf.DUMMYFUNCTION("""COMPUTED_VALUE"""),130.5)</f>
        <v>130.5</v>
      </c>
      <c r="M23" s="6">
        <f>IFERROR(__xludf.DUMMYFUNCTION("""COMPUTED_VALUE"""),130.51)</f>
        <v>130.51</v>
      </c>
      <c r="N23" s="6">
        <f>IFERROR(__xludf.DUMMYFUNCTION("""COMPUTED_VALUE"""),129.58)</f>
        <v>129.58</v>
      </c>
      <c r="O23" s="6">
        <f>IFERROR(__xludf.DUMMYFUNCTION("""COMPUTED_VALUE"""),129.04)</f>
        <v>129.04</v>
      </c>
      <c r="P23" s="6">
        <f>IFERROR(__xludf.DUMMYFUNCTION("""COMPUTED_VALUE"""),128.65)</f>
        <v>128.65</v>
      </c>
      <c r="Q23" s="6">
        <f>IFERROR(__xludf.DUMMYFUNCTION("""COMPUTED_VALUE"""),127.49)</f>
        <v>127.49</v>
      </c>
      <c r="R23" s="6">
        <f>IFERROR(__xludf.DUMMYFUNCTION("""COMPUTED_VALUE"""),128.67)</f>
        <v>128.67</v>
      </c>
      <c r="S23" s="6">
        <f>IFERROR(__xludf.DUMMYFUNCTION("""COMPUTED_VALUE"""),127.64)</f>
        <v>127.64</v>
      </c>
      <c r="T23" s="6">
        <f>IFERROR(__xludf.DUMMYFUNCTION("""COMPUTED_VALUE"""),128.5)</f>
        <v>128.5</v>
      </c>
      <c r="U23" s="6">
        <f>IFERROR(__xludf.DUMMYFUNCTION("""COMPUTED_VALUE"""),127.78)</f>
        <v>127.78</v>
      </c>
      <c r="V23" s="6">
        <f>IFERROR(__xludf.DUMMYFUNCTION("""COMPUTED_VALUE"""),124.16)</f>
        <v>124.16</v>
      </c>
      <c r="W23" s="6">
        <f>IFERROR(__xludf.DUMMYFUNCTION("""COMPUTED_VALUE"""),125.39)</f>
        <v>125.39</v>
      </c>
      <c r="X23" s="6">
        <f>IFERROR(__xludf.DUMMYFUNCTION("""COMPUTED_VALUE"""),121.15)</f>
        <v>121.15</v>
      </c>
      <c r="Y23" s="6">
        <f>IFERROR(__xludf.DUMMYFUNCTION("""COMPUTED_VALUE"""),119.28)</f>
        <v>119.28</v>
      </c>
      <c r="Z23" s="6">
        <f>IFERROR(__xludf.DUMMYFUNCTION("""COMPUTED_VALUE"""),121.92)</f>
        <v>121.92</v>
      </c>
      <c r="AA23" s="6">
        <f>IFERROR(__xludf.DUMMYFUNCTION("""COMPUTED_VALUE"""),124.11)</f>
        <v>124.11</v>
      </c>
      <c r="AB23" s="6">
        <f>IFERROR(__xludf.DUMMYFUNCTION("""COMPUTED_VALUE"""),124.14)</f>
        <v>124.14</v>
      </c>
      <c r="AC23" s="6">
        <f>IFERROR(__xludf.DUMMYFUNCTION("""COMPUTED_VALUE"""),123.75)</f>
        <v>123.75</v>
      </c>
      <c r="AD23" s="6">
        <f>IFERROR(__xludf.DUMMYFUNCTION("""COMPUTED_VALUE"""),122.12)</f>
        <v>122.12</v>
      </c>
      <c r="AE23" s="6">
        <f>IFERROR(__xludf.DUMMYFUNCTION("""COMPUTED_VALUE"""),119.79)</f>
        <v>119.79</v>
      </c>
      <c r="AF23" s="6">
        <f>IFERROR(__xludf.DUMMYFUNCTION("""COMPUTED_VALUE"""),119.82)</f>
        <v>119.82</v>
      </c>
      <c r="AG23" s="6">
        <f t="shared" ref="AG23:BF23" si="24">F23/F$2</f>
        <v>0.005562778603</v>
      </c>
      <c r="AH23" s="6">
        <f t="shared" si="24"/>
        <v>0.00547338592</v>
      </c>
      <c r="AI23" s="6">
        <f t="shared" si="24"/>
        <v>0.005484155358</v>
      </c>
      <c r="AJ23" s="6">
        <f t="shared" si="24"/>
        <v>0.005531374375</v>
      </c>
      <c r="AK23" s="6">
        <f t="shared" si="24"/>
        <v>0.005503191175</v>
      </c>
      <c r="AL23" s="6">
        <f t="shared" si="24"/>
        <v>0.00552702</v>
      </c>
      <c r="AM23" s="6">
        <f t="shared" si="24"/>
        <v>0.005501848705</v>
      </c>
      <c r="AN23" s="6">
        <f t="shared" si="24"/>
        <v>0.00543074356</v>
      </c>
      <c r="AO23" s="6">
        <f t="shared" si="24"/>
        <v>0.005418651233</v>
      </c>
      <c r="AP23" s="6">
        <f t="shared" si="24"/>
        <v>0.005397548432</v>
      </c>
      <c r="AQ23" s="6">
        <f t="shared" si="24"/>
        <v>0.005463366988</v>
      </c>
      <c r="AR23" s="6">
        <f t="shared" si="24"/>
        <v>0.005452344906</v>
      </c>
      <c r="AS23" s="6">
        <f t="shared" si="24"/>
        <v>0.005479154557</v>
      </c>
      <c r="AT23" s="6">
        <f t="shared" si="24"/>
        <v>0.005453395769</v>
      </c>
      <c r="AU23" s="6">
        <f t="shared" si="24"/>
        <v>0.005487571824</v>
      </c>
      <c r="AV23" s="6">
        <f t="shared" si="24"/>
        <v>0.005468465808</v>
      </c>
      <c r="AW23" s="6">
        <f t="shared" si="24"/>
        <v>0.005369545474</v>
      </c>
      <c r="AX23" s="6">
        <f t="shared" si="24"/>
        <v>0.005394951403</v>
      </c>
      <c r="AY23" s="6">
        <f t="shared" si="24"/>
        <v>0.005218619898</v>
      </c>
      <c r="AZ23" s="6">
        <f t="shared" si="24"/>
        <v>0.005149903288</v>
      </c>
      <c r="BA23" s="6">
        <f t="shared" si="24"/>
        <v>0.005161093685</v>
      </c>
      <c r="BB23" s="6">
        <f t="shared" si="24"/>
        <v>0.005202922792</v>
      </c>
      <c r="BC23" s="6">
        <f t="shared" si="24"/>
        <v>0.005174839459</v>
      </c>
      <c r="BD23" s="6">
        <f t="shared" si="24"/>
        <v>0.005137903403</v>
      </c>
      <c r="BE23" s="6">
        <f t="shared" si="24"/>
        <v>0.005052962595</v>
      </c>
      <c r="BF23" s="6">
        <f t="shared" si="24"/>
        <v>0.004988527096</v>
      </c>
    </row>
    <row r="24">
      <c r="A24" s="1" t="s">
        <v>25</v>
      </c>
      <c r="B24" s="6" t="str">
        <f>IFERROR(__xludf.DUMMYFUNCTION("SPARKLINE(AG24:BF24, {""charttype"", ""column""; ""color"", ""lightgreen""; ""highcolor"", ""green""})"),"#N/A")</f>
        <v>#N/A</v>
      </c>
      <c r="C24" s="5" t="str">
        <f t="shared" si="11"/>
        <v>#N/A</v>
      </c>
      <c r="D24" s="8"/>
      <c r="F24" s="6" t="str">
        <f>IFERROR(__xludf.DUMMYFUNCTION("{TRANSPOSE(QUERY(GOOGLEFINANCE(D24, ""close"", WORKDAY(TODAY(), -27), TODAY()-1), ""SELECT Col2 OFFSET 1"", 0)), GOOGLEFINANCE(D24, ""price"")}"),"#N/A")</f>
        <v>#N/A</v>
      </c>
      <c r="G24" s="6" t="str">
        <f>IFERROR(__xludf.DUMMYFUNCTION("""COMPUTED_VALUE"""),"#N/A")</f>
        <v>#N/A</v>
      </c>
      <c r="AG24" s="6" t="str">
        <f t="shared" ref="AG24:BF24" si="25">F24/F$2</f>
        <v>#N/A</v>
      </c>
      <c r="AH24" s="6" t="str">
        <f t="shared" si="25"/>
        <v>#N/A</v>
      </c>
      <c r="AI24" s="6">
        <f t="shared" si="25"/>
        <v>0</v>
      </c>
      <c r="AJ24" s="6">
        <f t="shared" si="25"/>
        <v>0</v>
      </c>
      <c r="AK24" s="6">
        <f t="shared" si="25"/>
        <v>0</v>
      </c>
      <c r="AL24" s="6">
        <f t="shared" si="25"/>
        <v>0</v>
      </c>
      <c r="AM24" s="6">
        <f t="shared" si="25"/>
        <v>0</v>
      </c>
      <c r="AN24" s="6">
        <f t="shared" si="25"/>
        <v>0</v>
      </c>
      <c r="AO24" s="6">
        <f t="shared" si="25"/>
        <v>0</v>
      </c>
      <c r="AP24" s="6">
        <f t="shared" si="25"/>
        <v>0</v>
      </c>
      <c r="AQ24" s="6">
        <f t="shared" si="25"/>
        <v>0</v>
      </c>
      <c r="AR24" s="6">
        <f t="shared" si="25"/>
        <v>0</v>
      </c>
      <c r="AS24" s="6">
        <f t="shared" si="25"/>
        <v>0</v>
      </c>
      <c r="AT24" s="6">
        <f t="shared" si="25"/>
        <v>0</v>
      </c>
      <c r="AU24" s="6">
        <f t="shared" si="25"/>
        <v>0</v>
      </c>
      <c r="AV24" s="6">
        <f t="shared" si="25"/>
        <v>0</v>
      </c>
      <c r="AW24" s="6">
        <f t="shared" si="25"/>
        <v>0</v>
      </c>
      <c r="AX24" s="6">
        <f t="shared" si="25"/>
        <v>0</v>
      </c>
      <c r="AY24" s="6">
        <f t="shared" si="25"/>
        <v>0</v>
      </c>
      <c r="AZ24" s="6">
        <f t="shared" si="25"/>
        <v>0</v>
      </c>
      <c r="BA24" s="6">
        <f t="shared" si="25"/>
        <v>0</v>
      </c>
      <c r="BB24" s="6">
        <f t="shared" si="25"/>
        <v>0</v>
      </c>
      <c r="BC24" s="6">
        <f t="shared" si="25"/>
        <v>0</v>
      </c>
      <c r="BD24" s="6">
        <f t="shared" si="25"/>
        <v>0</v>
      </c>
      <c r="BE24" s="6">
        <f t="shared" si="25"/>
        <v>0</v>
      </c>
      <c r="BF24" s="6">
        <f t="shared" si="25"/>
        <v>0</v>
      </c>
    </row>
    <row r="25">
      <c r="A25" s="1" t="s">
        <v>26</v>
      </c>
      <c r="B25" s="6"/>
      <c r="C25" s="5">
        <f t="shared" si="11"/>
        <v>0.08</v>
      </c>
      <c r="D25" s="1" t="s">
        <v>25</v>
      </c>
      <c r="E25" s="6" t="str">
        <f>IFERROR(__xludf.DUMMYFUNCTION("GOOGLEFINANCE(D25, ""name"")
"),"Reliance Industries Ltd")</f>
        <v>Reliance Industries Ltd</v>
      </c>
      <c r="F25" s="6">
        <f>IFERROR(__xludf.DUMMYFUNCTION("{TRANSPOSE(QUERY(GOOGLEFINANCE(D25, ""close"", WORKDAY(TODAY(), -27), TODAY()-1), ""SELECT Col2 OFFSET 1"", 0)), GOOGLEFINANCE(D25, ""price"")}"),1361.8)</f>
        <v>1361.8</v>
      </c>
      <c r="G25" s="6">
        <f>IFERROR(__xludf.DUMMYFUNCTION("""COMPUTED_VALUE"""),1336.4)</f>
        <v>1336.4</v>
      </c>
      <c r="H25" s="6">
        <f>IFERROR(__xludf.DUMMYFUNCTION("""COMPUTED_VALUE"""),1335.9)</f>
        <v>1335.9</v>
      </c>
      <c r="I25" s="6">
        <f>IFERROR(__xludf.DUMMYFUNCTION("""COMPUTED_VALUE"""),1322.7)</f>
        <v>1322.7</v>
      </c>
      <c r="J25" s="6">
        <f>IFERROR(__xludf.DUMMYFUNCTION("""COMPUTED_VALUE"""),1359.7)</f>
        <v>1359.7</v>
      </c>
      <c r="K25" s="6">
        <f>IFERROR(__xludf.DUMMYFUNCTION("""COMPUTED_VALUE"""),1349.6)</f>
        <v>1349.6</v>
      </c>
      <c r="L25" s="6">
        <f>IFERROR(__xludf.DUMMYFUNCTION("""COMPUTED_VALUE"""),1354.5)</f>
        <v>1354.5</v>
      </c>
      <c r="M25" s="6">
        <f>IFERROR(__xludf.DUMMYFUNCTION("""COMPUTED_VALUE"""),1367.0)</f>
        <v>1367</v>
      </c>
      <c r="N25" s="6">
        <f>IFERROR(__xludf.DUMMYFUNCTION("""COMPUTED_VALUE"""),1356.3)</f>
        <v>1356.3</v>
      </c>
      <c r="O25" s="6">
        <f>IFERROR(__xludf.DUMMYFUNCTION("""COMPUTED_VALUE"""),1350.5)</f>
        <v>1350.5</v>
      </c>
      <c r="P25" s="6">
        <f>IFERROR(__xludf.DUMMYFUNCTION("""COMPUTED_VALUE"""),1321.2)</f>
        <v>1321.2</v>
      </c>
      <c r="Q25" s="6">
        <f>IFERROR(__xludf.DUMMYFUNCTION("""COMPUTED_VALUE"""),1320.0)</f>
        <v>1320</v>
      </c>
      <c r="R25" s="6">
        <f>IFERROR(__xludf.DUMMYFUNCTION("""COMPUTED_VALUE"""),1314.6)</f>
        <v>1314.6</v>
      </c>
      <c r="S25" s="6">
        <f>IFERROR(__xludf.DUMMYFUNCTION("""COMPUTED_VALUE"""),1313.2)</f>
        <v>1313.2</v>
      </c>
      <c r="T25" s="6">
        <f>IFERROR(__xludf.DUMMYFUNCTION("""COMPUTED_VALUE"""),1303.7)</f>
        <v>1303.7</v>
      </c>
      <c r="U25" s="6">
        <f>IFERROR(__xludf.DUMMYFUNCTION("""COMPUTED_VALUE"""),1291.0)</f>
        <v>1291</v>
      </c>
      <c r="V25" s="6">
        <f>IFERROR(__xludf.DUMMYFUNCTION("""COMPUTED_VALUE"""),1263.3)</f>
        <v>1263.3</v>
      </c>
      <c r="W25" s="6">
        <f>IFERROR(__xludf.DUMMYFUNCTION("""COMPUTED_VALUE"""),1269.2)</f>
        <v>1269.2</v>
      </c>
      <c r="X25" s="6">
        <f>IFERROR(__xludf.DUMMYFUNCTION("""COMPUTED_VALUE"""),1258.8)</f>
        <v>1258.8</v>
      </c>
      <c r="Y25" s="6">
        <f>IFERROR(__xludf.DUMMYFUNCTION("""COMPUTED_VALUE"""),1263.0)</f>
        <v>1263</v>
      </c>
      <c r="Z25" s="6">
        <f>IFERROR(__xludf.DUMMYFUNCTION("""COMPUTED_VALUE"""),1293.0)</f>
        <v>1293</v>
      </c>
      <c r="AA25" s="6">
        <f>IFERROR(__xludf.DUMMYFUNCTION("""COMPUTED_VALUE"""),1307.0)</f>
        <v>1307</v>
      </c>
      <c r="AB25" s="6">
        <f>IFERROR(__xludf.DUMMYFUNCTION("""COMPUTED_VALUE"""),1328.8)</f>
        <v>1328.8</v>
      </c>
      <c r="AC25" s="6">
        <f>IFERROR(__xludf.DUMMYFUNCTION("""COMPUTED_VALUE"""),1332.7)</f>
        <v>1332.7</v>
      </c>
      <c r="AD25" s="6">
        <f>IFERROR(__xludf.DUMMYFUNCTION("""COMPUTED_VALUE"""),1328.1)</f>
        <v>1328.1</v>
      </c>
      <c r="AE25" s="6">
        <f>IFERROR(__xludf.DUMMYFUNCTION("""COMPUTED_VALUE"""),1309.5)</f>
        <v>1309.5</v>
      </c>
      <c r="AF25" s="6">
        <f>IFERROR(__xludf.DUMMYFUNCTION("""COMPUTED_VALUE"""),1311.5)</f>
        <v>1311.5</v>
      </c>
      <c r="AG25" s="6">
        <f t="shared" ref="AG25:BF25" si="26">F25/F$2</f>
        <v>0.05748514116</v>
      </c>
      <c r="AH25" s="6">
        <f t="shared" si="26"/>
        <v>0.05652293442</v>
      </c>
      <c r="AI25" s="6">
        <f t="shared" si="26"/>
        <v>0.05648637735</v>
      </c>
      <c r="AJ25" s="6">
        <f t="shared" si="26"/>
        <v>0.05600389533</v>
      </c>
      <c r="AK25" s="6">
        <f t="shared" si="26"/>
        <v>0.05747072995</v>
      </c>
      <c r="AL25" s="6">
        <f t="shared" si="26"/>
        <v>0.05705420065</v>
      </c>
      <c r="AM25" s="6">
        <f t="shared" si="26"/>
        <v>0.05710539518</v>
      </c>
      <c r="AN25" s="6">
        <f t="shared" si="26"/>
        <v>0.05688320011</v>
      </c>
      <c r="AO25" s="6">
        <f t="shared" si="26"/>
        <v>0.05671644288</v>
      </c>
      <c r="AP25" s="6">
        <f t="shared" si="26"/>
        <v>0.05648937661</v>
      </c>
      <c r="AQ25" s="6">
        <f t="shared" si="26"/>
        <v>0.0561072714</v>
      </c>
      <c r="AR25" s="6">
        <f t="shared" si="26"/>
        <v>0.05645223371</v>
      </c>
      <c r="AS25" s="6">
        <f t="shared" si="26"/>
        <v>0.05597961126</v>
      </c>
      <c r="AT25" s="6">
        <f t="shared" si="26"/>
        <v>0.05610623099</v>
      </c>
      <c r="AU25" s="6">
        <f t="shared" si="26"/>
        <v>0.05567429873</v>
      </c>
      <c r="AV25" s="6">
        <f t="shared" si="26"/>
        <v>0.05524956455</v>
      </c>
      <c r="AW25" s="6">
        <f t="shared" si="26"/>
        <v>0.05463391428</v>
      </c>
      <c r="AX25" s="6">
        <f t="shared" si="26"/>
        <v>0.05460780222</v>
      </c>
      <c r="AY25" s="6">
        <f t="shared" si="26"/>
        <v>0.05422367914</v>
      </c>
      <c r="AZ25" s="6">
        <f t="shared" si="26"/>
        <v>0.05452991158</v>
      </c>
      <c r="BA25" s="6">
        <f t="shared" si="26"/>
        <v>0.05473502407</v>
      </c>
      <c r="BB25" s="6">
        <f t="shared" si="26"/>
        <v>0.0547918789</v>
      </c>
      <c r="BC25" s="6">
        <f t="shared" si="26"/>
        <v>0.05539170833</v>
      </c>
      <c r="BD25" s="6">
        <f t="shared" si="26"/>
        <v>0.05533158679</v>
      </c>
      <c r="BE25" s="6">
        <f t="shared" si="26"/>
        <v>0.05495283019</v>
      </c>
      <c r="BF25" s="6">
        <f t="shared" si="26"/>
        <v>0.05453273422</v>
      </c>
    </row>
    <row r="26">
      <c r="A26" s="1" t="s">
        <v>27</v>
      </c>
      <c r="B26" s="6"/>
      <c r="C26" s="5">
        <f t="shared" si="11"/>
        <v>0</v>
      </c>
      <c r="D26" s="1" t="s">
        <v>26</v>
      </c>
      <c r="E26" s="6" t="str">
        <f>IFERROR(__xludf.DUMMYFUNCTION("GOOGLEFINANCE(D26, ""name"")
"),"Tata Consultancy Services Ltd")</f>
        <v>Tata Consultancy Services Ltd</v>
      </c>
      <c r="F26" s="6">
        <f>IFERROR(__xludf.DUMMYFUNCTION("{TRANSPOSE(QUERY(GOOGLEFINANCE(D26, ""close"", WORKDAY(TODAY(), -27), TODAY()-1), ""SELECT Col2 OFFSET 1"", 0)), GOOGLEFINANCE(D26, ""price"")}"),2246.0)</f>
        <v>2246</v>
      </c>
      <c r="G26" s="6">
        <f>IFERROR(__xludf.DUMMYFUNCTION("""COMPUTED_VALUE"""),2264.0)</f>
        <v>2264</v>
      </c>
      <c r="H26" s="6">
        <f>IFERROR(__xludf.DUMMYFUNCTION("""COMPUTED_VALUE"""),2283.2)</f>
        <v>2283.2</v>
      </c>
      <c r="I26" s="6">
        <f>IFERROR(__xludf.DUMMYFUNCTION("""COMPUTED_VALUE"""),2327.1)</f>
        <v>2327.1</v>
      </c>
      <c r="J26" s="6">
        <f>IFERROR(__xludf.DUMMYFUNCTION("""COMPUTED_VALUE"""),2327.4)</f>
        <v>2327.4</v>
      </c>
      <c r="K26" s="6">
        <f>IFERROR(__xludf.DUMMYFUNCTION("""COMPUTED_VALUE"""),2327.2)</f>
        <v>2327.2</v>
      </c>
      <c r="L26" s="6">
        <f>IFERROR(__xludf.DUMMYFUNCTION("""COMPUTED_VALUE"""),2317.3)</f>
        <v>2317.3</v>
      </c>
      <c r="M26" s="6">
        <f>IFERROR(__xludf.DUMMYFUNCTION("""COMPUTED_VALUE"""),2308.2)</f>
        <v>2308.2</v>
      </c>
      <c r="N26" s="6">
        <f>IFERROR(__xludf.DUMMYFUNCTION("""COMPUTED_VALUE"""),2276.2)</f>
        <v>2276.2</v>
      </c>
      <c r="O26" s="6">
        <f>IFERROR(__xludf.DUMMYFUNCTION("""COMPUTED_VALUE"""),2284.2)</f>
        <v>2284.2</v>
      </c>
      <c r="P26" s="6">
        <f>IFERROR(__xludf.DUMMYFUNCTION("""COMPUTED_VALUE"""),2258.9)</f>
        <v>2258.9</v>
      </c>
      <c r="Q26" s="6">
        <f>IFERROR(__xludf.DUMMYFUNCTION("""COMPUTED_VALUE"""),2297.4)</f>
        <v>2297.4</v>
      </c>
      <c r="R26" s="6">
        <f>IFERROR(__xludf.DUMMYFUNCTION("""COMPUTED_VALUE"""),2446.9)</f>
        <v>2446.9</v>
      </c>
      <c r="S26" s="6">
        <f>IFERROR(__xludf.DUMMYFUNCTION("""COMPUTED_VALUE"""),2241.7)</f>
        <v>2241.7</v>
      </c>
      <c r="T26" s="6">
        <f>IFERROR(__xludf.DUMMYFUNCTION("""COMPUTED_VALUE"""),2241.0)</f>
        <v>2241</v>
      </c>
      <c r="U26" s="6">
        <f>IFERROR(__xludf.DUMMYFUNCTION("""COMPUTED_VALUE"""),2198.9)</f>
        <v>2198.9</v>
      </c>
      <c r="V26" s="6">
        <f>IFERROR(__xludf.DUMMYFUNCTION("""COMPUTED_VALUE"""),2151.4)</f>
        <v>2151.4</v>
      </c>
      <c r="W26" s="6">
        <f>IFERROR(__xludf.DUMMYFUNCTION("""COMPUTED_VALUE"""),2151.0)</f>
        <v>2151</v>
      </c>
      <c r="X26" s="6">
        <f>IFERROR(__xludf.DUMMYFUNCTION("""COMPUTED_VALUE"""),2153.9)</f>
        <v>2153.9</v>
      </c>
      <c r="Y26" s="6">
        <f>IFERROR(__xludf.DUMMYFUNCTION("""COMPUTED_VALUE"""),2135.6)</f>
        <v>2135.6</v>
      </c>
      <c r="Z26" s="6">
        <f>IFERROR(__xludf.DUMMYFUNCTION("""COMPUTED_VALUE"""),2161.4)</f>
        <v>2161.4</v>
      </c>
      <c r="AA26" s="6">
        <f>IFERROR(__xludf.DUMMYFUNCTION("""COMPUTED_VALUE"""),2162.0)</f>
        <v>2162</v>
      </c>
      <c r="AB26" s="6">
        <f>IFERROR(__xludf.DUMMYFUNCTION("""COMPUTED_VALUE"""),2199.0)</f>
        <v>2199</v>
      </c>
      <c r="AC26" s="6">
        <f>IFERROR(__xludf.DUMMYFUNCTION("""COMPUTED_VALUE"""),2223.0)</f>
        <v>2223</v>
      </c>
      <c r="AD26" s="6">
        <f>IFERROR(__xludf.DUMMYFUNCTION("""COMPUTED_VALUE"""),2203.3)</f>
        <v>2203.3</v>
      </c>
      <c r="AE26" s="6">
        <f>IFERROR(__xludf.DUMMYFUNCTION("""COMPUTED_VALUE"""),2125.0)</f>
        <v>2125</v>
      </c>
      <c r="AF26" s="6">
        <f>IFERROR(__xludf.DUMMYFUNCTION("""COMPUTED_VALUE"""),2135.9)</f>
        <v>2135.9</v>
      </c>
      <c r="AG26" s="6">
        <f t="shared" ref="AG26:BF26" si="27">F26/F$2</f>
        <v>0.09480953667</v>
      </c>
      <c r="AH26" s="6">
        <f t="shared" si="27"/>
        <v>0.09575570453</v>
      </c>
      <c r="AI26" s="6">
        <f t="shared" si="27"/>
        <v>0.09654143032</v>
      </c>
      <c r="AJ26" s="6">
        <f t="shared" si="27"/>
        <v>0.09853078161</v>
      </c>
      <c r="AK26" s="6">
        <f t="shared" si="27"/>
        <v>0.09837271229</v>
      </c>
      <c r="AL26" s="6">
        <f t="shared" si="27"/>
        <v>0.0983821397</v>
      </c>
      <c r="AM26" s="6">
        <f t="shared" si="27"/>
        <v>0.0976968123</v>
      </c>
      <c r="AN26" s="6">
        <f t="shared" si="27"/>
        <v>0.09604813642</v>
      </c>
      <c r="AO26" s="6">
        <f t="shared" si="27"/>
        <v>0.09518393222</v>
      </c>
      <c r="AP26" s="6">
        <f t="shared" si="27"/>
        <v>0.09554463832</v>
      </c>
      <c r="AQ26" s="6">
        <f t="shared" si="27"/>
        <v>0.09592848574</v>
      </c>
      <c r="AR26" s="6">
        <f t="shared" si="27"/>
        <v>0.09825254677</v>
      </c>
      <c r="AS26" s="6">
        <f t="shared" si="27"/>
        <v>0.1041963417</v>
      </c>
      <c r="AT26" s="6">
        <f t="shared" si="27"/>
        <v>0.09577622449</v>
      </c>
      <c r="AU26" s="6">
        <f t="shared" si="27"/>
        <v>0.09570154442</v>
      </c>
      <c r="AV26" s="6">
        <f t="shared" si="27"/>
        <v>0.0941040027</v>
      </c>
      <c r="AW26" s="6">
        <f t="shared" si="27"/>
        <v>0.09304156035</v>
      </c>
      <c r="AX26" s="6">
        <f t="shared" si="27"/>
        <v>0.09254757531</v>
      </c>
      <c r="AY26" s="6">
        <f t="shared" si="27"/>
        <v>0.09278072966</v>
      </c>
      <c r="AZ26" s="6">
        <f t="shared" si="27"/>
        <v>0.09220433821</v>
      </c>
      <c r="BA26" s="6">
        <f t="shared" si="27"/>
        <v>0.09149596366</v>
      </c>
      <c r="BB26" s="6">
        <f t="shared" si="27"/>
        <v>0.09063507435</v>
      </c>
      <c r="BC26" s="6">
        <f t="shared" si="27"/>
        <v>0.09166644087</v>
      </c>
      <c r="BD26" s="6">
        <f t="shared" si="27"/>
        <v>0.09229542841</v>
      </c>
      <c r="BE26" s="6">
        <f t="shared" si="27"/>
        <v>0.09116600463</v>
      </c>
      <c r="BF26" s="6">
        <f t="shared" si="27"/>
        <v>0.08849336404</v>
      </c>
    </row>
    <row r="27">
      <c r="A27" s="1" t="s">
        <v>28</v>
      </c>
      <c r="B27" s="6"/>
      <c r="C27" s="5">
        <f t="shared" si="11"/>
        <v>0</v>
      </c>
      <c r="D27" s="1" t="s">
        <v>27</v>
      </c>
      <c r="E27" s="6" t="str">
        <f>IFERROR(__xludf.DUMMYFUNCTION("GOOGLEFINANCE(D27, ""name"")
"),"Infosys Ltd")</f>
        <v>Infosys Ltd</v>
      </c>
      <c r="F27" s="6">
        <f>IFERROR(__xludf.DUMMYFUNCTION("{TRANSPOSE(QUERY(GOOGLEFINANCE(D27, ""close"", WORKDAY(TODAY(), -27), TODAY()-1), ""SELECT Col2 OFFSET 1"", 0)), GOOGLEFINANCE(D27, ""price"")}"),1095.0)</f>
        <v>1095</v>
      </c>
      <c r="G27" s="6">
        <f>IFERROR(__xludf.DUMMYFUNCTION("""COMPUTED_VALUE"""),1119.0)</f>
        <v>1119</v>
      </c>
      <c r="H27" s="6">
        <f>IFERROR(__xludf.DUMMYFUNCTION("""COMPUTED_VALUE"""),1142.5)</f>
        <v>1142.5</v>
      </c>
      <c r="I27" s="6">
        <f>IFERROR(__xludf.DUMMYFUNCTION("""COMPUTED_VALUE"""),1196.9)</f>
        <v>1196.9</v>
      </c>
      <c r="J27" s="6">
        <f>IFERROR(__xludf.DUMMYFUNCTION("""COMPUTED_VALUE"""),1193.7)</f>
        <v>1193.7</v>
      </c>
      <c r="K27" s="6">
        <f>IFERROR(__xludf.DUMMYFUNCTION("""COMPUTED_VALUE"""),1181.2)</f>
        <v>1181.2</v>
      </c>
      <c r="L27" s="6">
        <f>IFERROR(__xludf.DUMMYFUNCTION("""COMPUTED_VALUE"""),1174.5)</f>
        <v>1174.5</v>
      </c>
      <c r="M27" s="6">
        <f>IFERROR(__xludf.DUMMYFUNCTION("""COMPUTED_VALUE"""),1168.5)</f>
        <v>1168.5</v>
      </c>
      <c r="N27" s="6">
        <f>IFERROR(__xludf.DUMMYFUNCTION("""COMPUTED_VALUE"""),1167.7)</f>
        <v>1167.7</v>
      </c>
      <c r="O27" s="6">
        <f>IFERROR(__xludf.DUMMYFUNCTION("""COMPUTED_VALUE"""),1159.9)</f>
        <v>1159.9</v>
      </c>
      <c r="P27" s="6">
        <f>IFERROR(__xludf.DUMMYFUNCTION("""COMPUTED_VALUE"""),1160.9)</f>
        <v>1160.9</v>
      </c>
      <c r="Q27" s="6">
        <f>IFERROR(__xludf.DUMMYFUNCTION("""COMPUTED_VALUE"""),1202.5)</f>
        <v>1202.5</v>
      </c>
      <c r="R27" s="6">
        <f>IFERROR(__xludf.DUMMYFUNCTION("""COMPUTED_VALUE"""),1270.8)</f>
        <v>1270.8</v>
      </c>
      <c r="S27" s="6">
        <f>IFERROR(__xludf.DUMMYFUNCTION("""COMPUTED_VALUE"""),1222.6)</f>
        <v>1222.6</v>
      </c>
      <c r="T27" s="6">
        <f>IFERROR(__xludf.DUMMYFUNCTION("""COMPUTED_VALUE"""),1201.3)</f>
        <v>1201.3</v>
      </c>
      <c r="U27" s="6">
        <f>IFERROR(__xludf.DUMMYFUNCTION("""COMPUTED_VALUE"""),1197.5)</f>
        <v>1197.5</v>
      </c>
      <c r="V27" s="6">
        <f>IFERROR(__xludf.DUMMYFUNCTION("""COMPUTED_VALUE"""),1187.6)</f>
        <v>1187.6</v>
      </c>
      <c r="W27" s="6">
        <f>IFERROR(__xludf.DUMMYFUNCTION("""COMPUTED_VALUE"""),1180.3)</f>
        <v>1180.3</v>
      </c>
      <c r="X27" s="6">
        <f>IFERROR(__xludf.DUMMYFUNCTION("""COMPUTED_VALUE"""),1145.3)</f>
        <v>1145.3</v>
      </c>
      <c r="Y27" s="6">
        <f>IFERROR(__xludf.DUMMYFUNCTION("""COMPUTED_VALUE"""),1114.6)</f>
        <v>1114.6</v>
      </c>
      <c r="Z27" s="6">
        <f>IFERROR(__xludf.DUMMYFUNCTION("""COMPUTED_VALUE"""),1116.4)</f>
        <v>1116.4</v>
      </c>
      <c r="AA27" s="6">
        <f>IFERROR(__xludf.DUMMYFUNCTION("""COMPUTED_VALUE"""),1134.9)</f>
        <v>1134.9</v>
      </c>
      <c r="AB27" s="6">
        <f>IFERROR(__xludf.DUMMYFUNCTION("""COMPUTED_VALUE"""),1143.6)</f>
        <v>1143.6</v>
      </c>
      <c r="AC27" s="6">
        <f>IFERROR(__xludf.DUMMYFUNCTION("""COMPUTED_VALUE"""),1157.7)</f>
        <v>1157.7</v>
      </c>
      <c r="AD27" s="6">
        <f>IFERROR(__xludf.DUMMYFUNCTION("""COMPUTED_VALUE"""),1127.5)</f>
        <v>1127.5</v>
      </c>
      <c r="AE27" s="6">
        <f>IFERROR(__xludf.DUMMYFUNCTION("""COMPUTED_VALUE"""),1051.4)</f>
        <v>1051.4</v>
      </c>
      <c r="AF27" s="6">
        <f>IFERROR(__xludf.DUMMYFUNCTION("""COMPUTED_VALUE"""),1054.2)</f>
        <v>1054.2</v>
      </c>
      <c r="AG27" s="6">
        <f t="shared" ref="AG27:BF27" si="28">F27/F$2</f>
        <v>0.04622281507</v>
      </c>
      <c r="AH27" s="6">
        <f t="shared" si="28"/>
        <v>0.04732801827</v>
      </c>
      <c r="AI27" s="6">
        <f t="shared" si="28"/>
        <v>0.04830877021</v>
      </c>
      <c r="AJ27" s="6">
        <f t="shared" si="28"/>
        <v>0.0506774494</v>
      </c>
      <c r="AK27" s="6">
        <f t="shared" si="28"/>
        <v>0.05045437254</v>
      </c>
      <c r="AL27" s="6">
        <f t="shared" si="28"/>
        <v>0.04993510803</v>
      </c>
      <c r="AM27" s="6">
        <f t="shared" si="28"/>
        <v>0.04951663835</v>
      </c>
      <c r="AN27" s="6">
        <f t="shared" si="28"/>
        <v>0.04862327676</v>
      </c>
      <c r="AO27" s="6">
        <f t="shared" si="28"/>
        <v>0.04882975031</v>
      </c>
      <c r="AP27" s="6">
        <f t="shared" si="28"/>
        <v>0.04851686629</v>
      </c>
      <c r="AQ27" s="6">
        <f t="shared" si="28"/>
        <v>0.04929982695</v>
      </c>
      <c r="AR27" s="6">
        <f t="shared" si="28"/>
        <v>0.05142712957</v>
      </c>
      <c r="AS27" s="6">
        <f t="shared" si="28"/>
        <v>0.05411447588</v>
      </c>
      <c r="AT27" s="6">
        <f t="shared" si="28"/>
        <v>0.05223536248</v>
      </c>
      <c r="AU27" s="6">
        <f t="shared" si="28"/>
        <v>0.05130132321</v>
      </c>
      <c r="AV27" s="6">
        <f t="shared" si="28"/>
        <v>0.05124814373</v>
      </c>
      <c r="AW27" s="6">
        <f t="shared" si="28"/>
        <v>0.05136011763</v>
      </c>
      <c r="AX27" s="6">
        <f t="shared" si="28"/>
        <v>0.05078284664</v>
      </c>
      <c r="AY27" s="6">
        <f t="shared" si="28"/>
        <v>0.04933458827</v>
      </c>
      <c r="AZ27" s="6">
        <f t="shared" si="28"/>
        <v>0.0481227549</v>
      </c>
      <c r="BA27" s="6">
        <f t="shared" si="28"/>
        <v>0.04725922728</v>
      </c>
      <c r="BB27" s="6">
        <f t="shared" si="28"/>
        <v>0.04757712575</v>
      </c>
      <c r="BC27" s="6">
        <f t="shared" si="28"/>
        <v>0.04767155151</v>
      </c>
      <c r="BD27" s="6">
        <f t="shared" si="28"/>
        <v>0.04806586481</v>
      </c>
      <c r="BE27" s="6">
        <f t="shared" si="28"/>
        <v>0.04665259848</v>
      </c>
      <c r="BF27" s="6">
        <f t="shared" si="28"/>
        <v>0.04378443433</v>
      </c>
    </row>
    <row r="28">
      <c r="A28" s="1" t="s">
        <v>29</v>
      </c>
      <c r="B28" s="6"/>
      <c r="C28" s="5">
        <f t="shared" si="11"/>
        <v>0.64</v>
      </c>
      <c r="D28" s="1" t="s">
        <v>28</v>
      </c>
      <c r="E28" s="6" t="str">
        <f>IFERROR(__xludf.DUMMYFUNCTION("GOOGLEFINANCE(D28, ""name"")
"),"HDFC Bank Ltd")</f>
        <v>HDFC Bank Ltd</v>
      </c>
      <c r="F28" s="6">
        <f>IFERROR(__xludf.DUMMYFUNCTION("{TRANSPOSE(QUERY(GOOGLEFINANCE(D28, ""close"", WORKDAY(TODAY(), -27), TODAY()-1), ""SELECT Col2 OFFSET 1"", 0)), GOOGLEFINANCE(D28, ""price"")}"),769.55)</f>
        <v>769.55</v>
      </c>
      <c r="G28" s="6">
        <f>IFERROR(__xludf.DUMMYFUNCTION("""COMPUTED_VALUE"""),767.5)</f>
        <v>767.5</v>
      </c>
      <c r="H28" s="6">
        <f>IFERROR(__xludf.DUMMYFUNCTION("""COMPUTED_VALUE"""),768.65)</f>
        <v>768.65</v>
      </c>
      <c r="I28" s="6">
        <f>IFERROR(__xludf.DUMMYFUNCTION("""COMPUTED_VALUE"""),762.45)</f>
        <v>762.45</v>
      </c>
      <c r="J28" s="6">
        <f>IFERROR(__xludf.DUMMYFUNCTION("""COMPUTED_VALUE"""),759.5)</f>
        <v>759.5</v>
      </c>
      <c r="K28" s="6">
        <f>IFERROR(__xludf.DUMMYFUNCTION("""COMPUTED_VALUE"""),759.15)</f>
        <v>759.15</v>
      </c>
      <c r="L28" s="6">
        <f>IFERROR(__xludf.DUMMYFUNCTION("""COMPUTED_VALUE"""),766.8)</f>
        <v>766.8</v>
      </c>
      <c r="M28" s="6">
        <f>IFERROR(__xludf.DUMMYFUNCTION("""COMPUTED_VALUE"""),786.85)</f>
        <v>786.85</v>
      </c>
      <c r="N28" s="6">
        <f>IFERROR(__xludf.DUMMYFUNCTION("""COMPUTED_VALUE"""),778.9)</f>
        <v>778.9</v>
      </c>
      <c r="O28" s="6">
        <f>IFERROR(__xludf.DUMMYFUNCTION("""COMPUTED_VALUE"""),758.65)</f>
        <v>758.65</v>
      </c>
      <c r="P28" s="6">
        <f>IFERROR(__xludf.DUMMYFUNCTION("""COMPUTED_VALUE"""),744.55)</f>
        <v>744.55</v>
      </c>
      <c r="Q28" s="6">
        <f>IFERROR(__xludf.DUMMYFUNCTION("""COMPUTED_VALUE"""),742.7)</f>
        <v>742.7</v>
      </c>
      <c r="R28" s="6">
        <f>IFERROR(__xludf.DUMMYFUNCTION("""COMPUTED_VALUE"""),748.25)</f>
        <v>748.25</v>
      </c>
      <c r="S28" s="6">
        <f>IFERROR(__xludf.DUMMYFUNCTION("""COMPUTED_VALUE"""),753.65)</f>
        <v>753.65</v>
      </c>
      <c r="T28" s="6">
        <f>IFERROR(__xludf.DUMMYFUNCTION("""COMPUTED_VALUE"""),754.2)</f>
        <v>754.2</v>
      </c>
      <c r="U28" s="6">
        <f>IFERROR(__xludf.DUMMYFUNCTION("""COMPUTED_VALUE"""),747.05)</f>
        <v>747.05</v>
      </c>
      <c r="V28" s="6">
        <f>IFERROR(__xludf.DUMMYFUNCTION("""COMPUTED_VALUE"""),738.65)</f>
        <v>738.65</v>
      </c>
      <c r="W28" s="6">
        <f>IFERROR(__xludf.DUMMYFUNCTION("""COMPUTED_VALUE"""),738.35)</f>
        <v>738.35</v>
      </c>
      <c r="X28" s="6">
        <f>IFERROR(__xludf.DUMMYFUNCTION("""COMPUTED_VALUE"""),746.85)</f>
        <v>746.85</v>
      </c>
      <c r="Y28" s="6">
        <f>IFERROR(__xludf.DUMMYFUNCTION("""COMPUTED_VALUE"""),744.6)</f>
        <v>744.6</v>
      </c>
      <c r="Z28" s="6">
        <f>IFERROR(__xludf.DUMMYFUNCTION("""COMPUTED_VALUE"""),772.45)</f>
        <v>772.45</v>
      </c>
      <c r="AA28" s="6">
        <f>IFERROR(__xludf.DUMMYFUNCTION("""COMPUTED_VALUE"""),777.35)</f>
        <v>777.35</v>
      </c>
      <c r="AB28" s="6">
        <f>IFERROR(__xludf.DUMMYFUNCTION("""COMPUTED_VALUE"""),784.9)</f>
        <v>784.9</v>
      </c>
      <c r="AC28" s="6">
        <f>IFERROR(__xludf.DUMMYFUNCTION("""COMPUTED_VALUE"""),787.1)</f>
        <v>787.1</v>
      </c>
      <c r="AD28" s="6">
        <f>IFERROR(__xludf.DUMMYFUNCTION("""COMPUTED_VALUE"""),799.0)</f>
        <v>799</v>
      </c>
      <c r="AE28" s="6">
        <f>IFERROR(__xludf.DUMMYFUNCTION("""COMPUTED_VALUE"""),779.8)</f>
        <v>779.8</v>
      </c>
      <c r="AF28" s="6">
        <f>IFERROR(__xludf.DUMMYFUNCTION("""COMPUTED_VALUE"""),781.0)</f>
        <v>781</v>
      </c>
      <c r="AG28" s="6">
        <f t="shared" ref="AG28:BF28" si="29">F28/F$2</f>
        <v>0.03248471903</v>
      </c>
      <c r="AH28" s="6">
        <f t="shared" si="29"/>
        <v>0.03246135301</v>
      </c>
      <c r="AI28" s="6">
        <f t="shared" si="29"/>
        <v>0.0325011258</v>
      </c>
      <c r="AJ28" s="6">
        <f t="shared" si="29"/>
        <v>0.03228258108</v>
      </c>
      <c r="AK28" s="6">
        <f t="shared" si="29"/>
        <v>0.03210194852</v>
      </c>
      <c r="AL28" s="6">
        <f t="shared" si="29"/>
        <v>0.03209298786</v>
      </c>
      <c r="AM28" s="6">
        <f t="shared" si="29"/>
        <v>0.03232810412</v>
      </c>
      <c r="AN28" s="6">
        <f t="shared" si="29"/>
        <v>0.03274216972</v>
      </c>
      <c r="AO28" s="6">
        <f t="shared" si="29"/>
        <v>0.03257128759</v>
      </c>
      <c r="AP28" s="6">
        <f t="shared" si="29"/>
        <v>0.03173318442</v>
      </c>
      <c r="AQ28" s="6">
        <f t="shared" si="29"/>
        <v>0.03161873215</v>
      </c>
      <c r="AR28" s="6">
        <f t="shared" si="29"/>
        <v>0.03176293483</v>
      </c>
      <c r="AS28" s="6">
        <f t="shared" si="29"/>
        <v>0.03186272944</v>
      </c>
      <c r="AT28" s="6">
        <f t="shared" si="29"/>
        <v>0.03219955908</v>
      </c>
      <c r="AU28" s="6">
        <f t="shared" si="29"/>
        <v>0.03220798965</v>
      </c>
      <c r="AV28" s="6">
        <f t="shared" si="29"/>
        <v>0.03197071046</v>
      </c>
      <c r="AW28" s="6">
        <f t="shared" si="29"/>
        <v>0.03194438438</v>
      </c>
      <c r="AX28" s="6">
        <f t="shared" si="29"/>
        <v>0.03176778346</v>
      </c>
      <c r="AY28" s="6">
        <f t="shared" si="29"/>
        <v>0.03217107941</v>
      </c>
      <c r="AZ28" s="6">
        <f t="shared" si="29"/>
        <v>0.03214803813</v>
      </c>
      <c r="BA28" s="6">
        <f t="shared" si="29"/>
        <v>0.03269920289</v>
      </c>
      <c r="BB28" s="6">
        <f t="shared" si="29"/>
        <v>0.03258796256</v>
      </c>
      <c r="BC28" s="6">
        <f t="shared" si="29"/>
        <v>0.03271895836</v>
      </c>
      <c r="BD28" s="6">
        <f t="shared" si="29"/>
        <v>0.03267914157</v>
      </c>
      <c r="BE28" s="6">
        <f t="shared" si="29"/>
        <v>0.03306024495</v>
      </c>
      <c r="BF28" s="6">
        <f t="shared" si="29"/>
        <v>0.03247394131</v>
      </c>
    </row>
    <row r="29">
      <c r="A29" s="1" t="s">
        <v>30</v>
      </c>
      <c r="B29" s="6"/>
      <c r="C29" s="5">
        <f t="shared" si="11"/>
        <v>0.92</v>
      </c>
      <c r="D29" s="1" t="s">
        <v>29</v>
      </c>
      <c r="E29" s="6" t="str">
        <f>IFERROR(__xludf.DUMMYFUNCTION("GOOGLEFINANCE(D29, ""name"")
"),"ICICI Bank Ltd")</f>
        <v>ICICI Bank Ltd</v>
      </c>
      <c r="F29" s="6">
        <f>IFERROR(__xludf.DUMMYFUNCTION("{TRANSPOSE(QUERY(GOOGLEFINANCE(D29, ""close"", WORKDAY(TODAY(), -27), TODAY()-1), ""SELECT Col2 OFFSET 1"", 0)), GOOGLEFINANCE(D29, ""price"")}"),1246.0)</f>
        <v>1246</v>
      </c>
      <c r="G29" s="6">
        <f>IFERROR(__xludf.DUMMYFUNCTION("""COMPUTED_VALUE"""),1244.5)</f>
        <v>1244.5</v>
      </c>
      <c r="H29" s="6">
        <f>IFERROR(__xludf.DUMMYFUNCTION("""COMPUTED_VALUE"""),1251.1)</f>
        <v>1251.1</v>
      </c>
      <c r="I29" s="6">
        <f>IFERROR(__xludf.DUMMYFUNCTION("""COMPUTED_VALUE"""),1240.8)</f>
        <v>1240.8</v>
      </c>
      <c r="J29" s="6">
        <f>IFERROR(__xludf.DUMMYFUNCTION("""COMPUTED_VALUE"""),1237.3)</f>
        <v>1237.3</v>
      </c>
      <c r="K29" s="6">
        <f>IFERROR(__xludf.DUMMYFUNCTION("""COMPUTED_VALUE"""),1242.8)</f>
        <v>1242.8</v>
      </c>
      <c r="L29" s="6">
        <f>IFERROR(__xludf.DUMMYFUNCTION("""COMPUTED_VALUE"""),1264.3)</f>
        <v>1264.3</v>
      </c>
      <c r="M29" s="6">
        <f>IFERROR(__xludf.DUMMYFUNCTION("""COMPUTED_VALUE"""),1291.8)</f>
        <v>1291.8</v>
      </c>
      <c r="N29" s="6">
        <f>IFERROR(__xludf.DUMMYFUNCTION("""COMPUTED_VALUE"""),1279.1)</f>
        <v>1279.1</v>
      </c>
      <c r="O29" s="6">
        <f>IFERROR(__xludf.DUMMYFUNCTION("""COMPUTED_VALUE"""),1272.7)</f>
        <v>1272.7</v>
      </c>
      <c r="P29" s="6">
        <f>IFERROR(__xludf.DUMMYFUNCTION("""COMPUTED_VALUE"""),1256.4)</f>
        <v>1256.4</v>
      </c>
      <c r="Q29" s="6">
        <f>IFERROR(__xludf.DUMMYFUNCTION("""COMPUTED_VALUE"""),1239.7)</f>
        <v>1239.7</v>
      </c>
      <c r="R29" s="6">
        <f>IFERROR(__xludf.DUMMYFUNCTION("""COMPUTED_VALUE"""),1226.6)</f>
        <v>1226.6</v>
      </c>
      <c r="S29" s="6">
        <f>IFERROR(__xludf.DUMMYFUNCTION("""COMPUTED_VALUE"""),1242.0)</f>
        <v>1242</v>
      </c>
      <c r="T29" s="6">
        <f>IFERROR(__xludf.DUMMYFUNCTION("""COMPUTED_VALUE"""),1251.7)</f>
        <v>1251.7</v>
      </c>
      <c r="U29" s="6">
        <f>IFERROR(__xludf.DUMMYFUNCTION("""COMPUTED_VALUE"""),1262.1)</f>
        <v>1262.1</v>
      </c>
      <c r="V29" s="6">
        <f>IFERROR(__xludf.DUMMYFUNCTION("""COMPUTED_VALUE"""),1250.2)</f>
        <v>1250.2</v>
      </c>
      <c r="W29" s="6">
        <f>IFERROR(__xludf.DUMMYFUNCTION("""COMPUTED_VALUE"""),1275.0)</f>
        <v>1275</v>
      </c>
      <c r="X29" s="6">
        <f>IFERROR(__xludf.DUMMYFUNCTION("""COMPUTED_VALUE"""),1293.3)</f>
        <v>1293.3</v>
      </c>
      <c r="Y29" s="6">
        <f>IFERROR(__xludf.DUMMYFUNCTION("""COMPUTED_VALUE"""),1317.0)</f>
        <v>1317</v>
      </c>
      <c r="Z29" s="6">
        <f>IFERROR(__xludf.DUMMYFUNCTION("""COMPUTED_VALUE"""),1340.8)</f>
        <v>1340.8</v>
      </c>
      <c r="AA29" s="6">
        <f>IFERROR(__xludf.DUMMYFUNCTION("""COMPUTED_VALUE"""),1327.6)</f>
        <v>1327.6</v>
      </c>
      <c r="AB29" s="6">
        <f>IFERROR(__xludf.DUMMYFUNCTION("""COMPUTED_VALUE"""),1334.3)</f>
        <v>1334.3</v>
      </c>
      <c r="AC29" s="6">
        <f>IFERROR(__xludf.DUMMYFUNCTION("""COMPUTED_VALUE"""),1336.8)</f>
        <v>1336.8</v>
      </c>
      <c r="AD29" s="6">
        <f>IFERROR(__xludf.DUMMYFUNCTION("""COMPUTED_VALUE"""),1342.3)</f>
        <v>1342.3</v>
      </c>
      <c r="AE29" s="6">
        <f>IFERROR(__xludf.DUMMYFUNCTION("""COMPUTED_VALUE"""),1346.5)</f>
        <v>1346.5</v>
      </c>
      <c r="AF29" s="6">
        <f>IFERROR(__xludf.DUMMYFUNCTION("""COMPUTED_VALUE"""),1347.8)</f>
        <v>1347.8</v>
      </c>
      <c r="AG29" s="6">
        <f t="shared" ref="AG29:BF29" si="30">F29/F$2</f>
        <v>0.05259692017</v>
      </c>
      <c r="AH29" s="6">
        <f t="shared" si="30"/>
        <v>0.05263603104</v>
      </c>
      <c r="AI29" s="6">
        <f t="shared" si="30"/>
        <v>0.05290074609</v>
      </c>
      <c r="AJ29" s="6">
        <f t="shared" si="30"/>
        <v>0.0525362012</v>
      </c>
      <c r="AK29" s="6">
        <f t="shared" si="30"/>
        <v>0.05229722304</v>
      </c>
      <c r="AL29" s="6">
        <f t="shared" si="30"/>
        <v>0.05253924167</v>
      </c>
      <c r="AM29" s="6">
        <f t="shared" si="30"/>
        <v>0.05330258481</v>
      </c>
      <c r="AN29" s="6">
        <f t="shared" si="30"/>
        <v>0.05375399993</v>
      </c>
      <c r="AO29" s="6">
        <f t="shared" si="30"/>
        <v>0.05348816787</v>
      </c>
      <c r="AP29" s="6">
        <f t="shared" si="30"/>
        <v>0.05323512004</v>
      </c>
      <c r="AQ29" s="6">
        <f t="shared" si="30"/>
        <v>0.05335541612</v>
      </c>
      <c r="AR29" s="6">
        <f t="shared" si="30"/>
        <v>0.05301805616</v>
      </c>
      <c r="AS29" s="6">
        <f t="shared" si="30"/>
        <v>0.0522323073</v>
      </c>
      <c r="AT29" s="6">
        <f t="shared" si="30"/>
        <v>0.05306422395</v>
      </c>
      <c r="AU29" s="6">
        <f t="shared" si="30"/>
        <v>0.0534536471</v>
      </c>
      <c r="AV29" s="6">
        <f t="shared" si="30"/>
        <v>0.05401276175</v>
      </c>
      <c r="AW29" s="6">
        <f t="shared" si="30"/>
        <v>0.0540673788</v>
      </c>
      <c r="AX29" s="6">
        <f t="shared" si="30"/>
        <v>0.05485734938</v>
      </c>
      <c r="AY29" s="6">
        <f t="shared" si="30"/>
        <v>0.05570979046</v>
      </c>
      <c r="AZ29" s="6">
        <f t="shared" si="30"/>
        <v>0.05686135673</v>
      </c>
      <c r="BA29" s="6">
        <f t="shared" si="30"/>
        <v>0.05675848435</v>
      </c>
      <c r="BB29" s="6">
        <f t="shared" si="30"/>
        <v>0.05565546934</v>
      </c>
      <c r="BC29" s="6">
        <f t="shared" si="30"/>
        <v>0.05562097865</v>
      </c>
      <c r="BD29" s="6">
        <f t="shared" si="30"/>
        <v>0.05550181228</v>
      </c>
      <c r="BE29" s="6">
        <f t="shared" si="30"/>
        <v>0.05554038398</v>
      </c>
      <c r="BF29" s="6">
        <f t="shared" si="30"/>
        <v>0.05607355985</v>
      </c>
    </row>
    <row r="30">
      <c r="A30" s="1" t="s">
        <v>31</v>
      </c>
      <c r="B30" s="6"/>
      <c r="C30" s="5">
        <f t="shared" si="11"/>
        <v>0.84</v>
      </c>
      <c r="D30" s="1" t="s">
        <v>30</v>
      </c>
      <c r="E30" s="6" t="str">
        <f>IFERROR(__xludf.DUMMYFUNCTION("GOOGLEFINANCE(D30, ""name"")
"),"State Bank of India")</f>
        <v>State Bank of India</v>
      </c>
      <c r="F30" s="6">
        <f>IFERROR(__xludf.DUMMYFUNCTION("{TRANSPOSE(QUERY(GOOGLEFINANCE(D30, ""close"", WORKDAY(TODAY(), -27), TODAY()-1), ""SELECT Col2 OFFSET 1"", 0)), GOOGLEFINANCE(D30, ""price"")}"),979.9)</f>
        <v>979.9</v>
      </c>
      <c r="G30" s="6">
        <f>IFERROR(__xludf.DUMMYFUNCTION("""COMPUTED_VALUE"""),963.2)</f>
        <v>963.2</v>
      </c>
      <c r="H30" s="6">
        <f>IFERROR(__xludf.DUMMYFUNCTION("""COMPUTED_VALUE"""),939.4)</f>
        <v>939.4</v>
      </c>
      <c r="I30" s="6">
        <f>IFERROR(__xludf.DUMMYFUNCTION("""COMPUTED_VALUE"""),948.8)</f>
        <v>948.8</v>
      </c>
      <c r="J30" s="6">
        <f>IFERROR(__xludf.DUMMYFUNCTION("""COMPUTED_VALUE"""),950.9)</f>
        <v>950.9</v>
      </c>
      <c r="K30" s="6">
        <f>IFERROR(__xludf.DUMMYFUNCTION("""COMPUTED_VALUE"""),950.9)</f>
        <v>950.9</v>
      </c>
      <c r="L30" s="6">
        <f>IFERROR(__xludf.DUMMYFUNCTION("""COMPUTED_VALUE"""),949.2)</f>
        <v>949.2</v>
      </c>
      <c r="M30" s="6">
        <f>IFERROR(__xludf.DUMMYFUNCTION("""COMPUTED_VALUE"""),969.6)</f>
        <v>969.6</v>
      </c>
      <c r="N30" s="6">
        <f>IFERROR(__xludf.DUMMYFUNCTION("""COMPUTED_VALUE"""),968.5)</f>
        <v>968.5</v>
      </c>
      <c r="O30" s="6">
        <f>IFERROR(__xludf.DUMMYFUNCTION("""COMPUTED_VALUE"""),967.8)</f>
        <v>967.8</v>
      </c>
      <c r="P30" s="6">
        <f>IFERROR(__xludf.DUMMYFUNCTION("""COMPUTED_VALUE"""),964.4)</f>
        <v>964.4</v>
      </c>
      <c r="Q30" s="6">
        <f>IFERROR(__xludf.DUMMYFUNCTION("""COMPUTED_VALUE"""),954.1)</f>
        <v>954.1</v>
      </c>
      <c r="R30" s="6">
        <f>IFERROR(__xludf.DUMMYFUNCTION("""COMPUTED_VALUE"""),956.65)</f>
        <v>956.65</v>
      </c>
      <c r="S30" s="6">
        <f>IFERROR(__xludf.DUMMYFUNCTION("""COMPUTED_VALUE"""),970.45)</f>
        <v>970.45</v>
      </c>
      <c r="T30" s="6">
        <f>IFERROR(__xludf.DUMMYFUNCTION("""COMPUTED_VALUE"""),979.25)</f>
        <v>979.25</v>
      </c>
      <c r="U30" s="6">
        <f>IFERROR(__xludf.DUMMYFUNCTION("""COMPUTED_VALUE"""),977.7)</f>
        <v>977.7</v>
      </c>
      <c r="V30" s="6">
        <f>IFERROR(__xludf.DUMMYFUNCTION("""COMPUTED_VALUE"""),981.95)</f>
        <v>981.95</v>
      </c>
      <c r="W30" s="6">
        <f>IFERROR(__xludf.DUMMYFUNCTION("""COMPUTED_VALUE"""),1002.7)</f>
        <v>1002.7</v>
      </c>
      <c r="X30" s="6">
        <f>IFERROR(__xludf.DUMMYFUNCTION("""COMPUTED_VALUE"""),1003.25)</f>
        <v>1003.25</v>
      </c>
      <c r="Y30" s="6">
        <f>IFERROR(__xludf.DUMMYFUNCTION("""COMPUTED_VALUE"""),1000.7)</f>
        <v>1000.7</v>
      </c>
      <c r="Z30" s="6">
        <f>IFERROR(__xludf.DUMMYFUNCTION("""COMPUTED_VALUE"""),1017.15)</f>
        <v>1017.15</v>
      </c>
      <c r="AA30" s="6">
        <f>IFERROR(__xludf.DUMMYFUNCTION("""COMPUTED_VALUE"""),1020.85)</f>
        <v>1020.85</v>
      </c>
      <c r="AB30" s="6">
        <f>IFERROR(__xludf.DUMMYFUNCTION("""COMPUTED_VALUE"""),1015.3)</f>
        <v>1015.3</v>
      </c>
      <c r="AC30" s="6">
        <f>IFERROR(__xludf.DUMMYFUNCTION("""COMPUTED_VALUE"""),1026.5)</f>
        <v>1026.5</v>
      </c>
      <c r="AD30" s="6">
        <f>IFERROR(__xludf.DUMMYFUNCTION("""COMPUTED_VALUE"""),1042.7)</f>
        <v>1042.7</v>
      </c>
      <c r="AE30" s="6">
        <f>IFERROR(__xludf.DUMMYFUNCTION("""COMPUTED_VALUE"""),1035.1)</f>
        <v>1035.1</v>
      </c>
      <c r="AF30" s="6">
        <f>IFERROR(__xludf.DUMMYFUNCTION("""COMPUTED_VALUE"""),1036.0)</f>
        <v>1036</v>
      </c>
      <c r="AG30" s="6">
        <f t="shared" ref="AG30:BF30" si="31">F30/F$2</f>
        <v>0.04136414292</v>
      </c>
      <c r="AH30" s="6">
        <f t="shared" si="31"/>
        <v>0.04073846935</v>
      </c>
      <c r="AI30" s="6">
        <f t="shared" si="31"/>
        <v>0.03972101421</v>
      </c>
      <c r="AJ30" s="6">
        <f t="shared" si="31"/>
        <v>0.0401727496</v>
      </c>
      <c r="AK30" s="6">
        <f t="shared" si="31"/>
        <v>0.04019189315</v>
      </c>
      <c r="AL30" s="6">
        <f t="shared" si="31"/>
        <v>0.04019919931</v>
      </c>
      <c r="AM30" s="6">
        <f t="shared" si="31"/>
        <v>0.04001804438</v>
      </c>
      <c r="AN30" s="6">
        <f t="shared" si="31"/>
        <v>0.04034670872</v>
      </c>
      <c r="AO30" s="6">
        <f t="shared" si="31"/>
        <v>0.04049979719</v>
      </c>
      <c r="AP30" s="6">
        <f t="shared" si="31"/>
        <v>0.04048161324</v>
      </c>
      <c r="AQ30" s="6">
        <f t="shared" si="31"/>
        <v>0.04095508063</v>
      </c>
      <c r="AR30" s="6">
        <f t="shared" si="31"/>
        <v>0.04080384559</v>
      </c>
      <c r="AS30" s="6">
        <f t="shared" si="31"/>
        <v>0.04073702656</v>
      </c>
      <c r="AT30" s="6">
        <f t="shared" si="31"/>
        <v>0.04146229962</v>
      </c>
      <c r="AU30" s="6">
        <f t="shared" si="31"/>
        <v>0.04181871369</v>
      </c>
      <c r="AV30" s="6">
        <f t="shared" si="31"/>
        <v>0.04184159509</v>
      </c>
      <c r="AW30" s="6">
        <f t="shared" si="31"/>
        <v>0.04246637547</v>
      </c>
      <c r="AX30" s="6">
        <f t="shared" si="31"/>
        <v>0.04314154057</v>
      </c>
      <c r="AY30" s="6">
        <f t="shared" si="31"/>
        <v>0.04321568644</v>
      </c>
      <c r="AZ30" s="6">
        <f t="shared" si="31"/>
        <v>0.04320513263</v>
      </c>
      <c r="BA30" s="6">
        <f t="shared" si="31"/>
        <v>0.04305779561</v>
      </c>
      <c r="BB30" s="6">
        <f t="shared" si="31"/>
        <v>0.04279593693</v>
      </c>
      <c r="BC30" s="6">
        <f t="shared" si="31"/>
        <v>0.04232330033</v>
      </c>
      <c r="BD30" s="6">
        <f t="shared" si="31"/>
        <v>0.04261864924</v>
      </c>
      <c r="BE30" s="6">
        <f t="shared" si="31"/>
        <v>0.04314382655</v>
      </c>
      <c r="BF30" s="6">
        <f t="shared" si="31"/>
        <v>0.04310563817</v>
      </c>
    </row>
    <row r="31">
      <c r="A31" s="1" t="s">
        <v>32</v>
      </c>
      <c r="B31" s="6"/>
      <c r="C31" s="5">
        <f t="shared" si="11"/>
        <v>1</v>
      </c>
      <c r="D31" s="1" t="s">
        <v>31</v>
      </c>
      <c r="E31" s="6" t="str">
        <f>IFERROR(__xludf.DUMMYFUNCTION("GOOGLEFINANCE(D31, ""name"")
"),"Larsen and Toubro Ltd")</f>
        <v>Larsen and Toubro Ltd</v>
      </c>
      <c r="F31" s="6">
        <f>IFERROR(__xludf.DUMMYFUNCTION("{TRANSPOSE(QUERY(GOOGLEFINANCE(D31, ""close"", WORKDAY(TODAY(), -27), TODAY()-1), ""SELECT Col2 OFFSET 1"", 0)), GOOGLEFINANCE(D31, ""price"")}"),3940.4)</f>
        <v>3940.4</v>
      </c>
      <c r="G31" s="6">
        <f>IFERROR(__xludf.DUMMYFUNCTION("""COMPUTED_VALUE"""),3909.0)</f>
        <v>3909</v>
      </c>
      <c r="H31" s="6">
        <f>IFERROR(__xludf.DUMMYFUNCTION("""COMPUTED_VALUE"""),3917.8)</f>
        <v>3917.8</v>
      </c>
      <c r="I31" s="6">
        <f>IFERROR(__xludf.DUMMYFUNCTION("""COMPUTED_VALUE"""),3921.0)</f>
        <v>3921</v>
      </c>
      <c r="J31" s="6">
        <f>IFERROR(__xludf.DUMMYFUNCTION("""COMPUTED_VALUE"""),3910.7)</f>
        <v>3910.7</v>
      </c>
      <c r="K31" s="6">
        <f>IFERROR(__xludf.DUMMYFUNCTION("""COMPUTED_VALUE"""),3928.5)</f>
        <v>3928.5</v>
      </c>
      <c r="L31" s="6">
        <f>IFERROR(__xludf.DUMMYFUNCTION("""COMPUTED_VALUE"""),3926.6)</f>
        <v>3926.6</v>
      </c>
      <c r="M31" s="6">
        <f>IFERROR(__xludf.DUMMYFUNCTION("""COMPUTED_VALUE"""),4033.4)</f>
        <v>4033.4</v>
      </c>
      <c r="N31" s="6">
        <f>IFERROR(__xludf.DUMMYFUNCTION("""COMPUTED_VALUE"""),4037.8)</f>
        <v>4037.8</v>
      </c>
      <c r="O31" s="6">
        <f>IFERROR(__xludf.DUMMYFUNCTION("""COMPUTED_VALUE"""),4047.5)</f>
        <v>4047.5</v>
      </c>
      <c r="P31" s="6">
        <f>IFERROR(__xludf.DUMMYFUNCTION("""COMPUTED_VALUE"""),4076.5)</f>
        <v>4076.5</v>
      </c>
      <c r="Q31" s="6">
        <f>IFERROR(__xludf.DUMMYFUNCTION("""COMPUTED_VALUE"""),4010.8)</f>
        <v>4010.8</v>
      </c>
      <c r="R31" s="6">
        <f>IFERROR(__xludf.DUMMYFUNCTION("""COMPUTED_VALUE"""),4000.9)</f>
        <v>4000.9</v>
      </c>
      <c r="S31" s="6">
        <f>IFERROR(__xludf.DUMMYFUNCTION("""COMPUTED_VALUE"""),3953.2)</f>
        <v>3953.2</v>
      </c>
      <c r="T31" s="6">
        <f>IFERROR(__xludf.DUMMYFUNCTION("""COMPUTED_VALUE"""),3942.1)</f>
        <v>3942.1</v>
      </c>
      <c r="U31" s="6">
        <f>IFERROR(__xludf.DUMMYFUNCTION("""COMPUTED_VALUE"""),3953.2)</f>
        <v>3953.2</v>
      </c>
      <c r="V31" s="6">
        <f>IFERROR(__xludf.DUMMYFUNCTION("""COMPUTED_VALUE"""),3875.5)</f>
        <v>3875.5</v>
      </c>
      <c r="W31" s="6">
        <f>IFERROR(__xludf.DUMMYFUNCTION("""COMPUTED_VALUE"""),3900.6)</f>
        <v>3900.6</v>
      </c>
      <c r="X31" s="6">
        <f>IFERROR(__xludf.DUMMYFUNCTION("""COMPUTED_VALUE"""),3917.5)</f>
        <v>3917.5</v>
      </c>
      <c r="Y31" s="6">
        <f>IFERROR(__xludf.DUMMYFUNCTION("""COMPUTED_VALUE"""),3862.0)</f>
        <v>3862</v>
      </c>
      <c r="Z31" s="6">
        <f>IFERROR(__xludf.DUMMYFUNCTION("""COMPUTED_VALUE"""),4049.3)</f>
        <v>4049.3</v>
      </c>
      <c r="AA31" s="6">
        <f>IFERROR(__xludf.DUMMYFUNCTION("""COMPUTED_VALUE"""),4169.8)</f>
        <v>4169.8</v>
      </c>
      <c r="AB31" s="6">
        <f>IFERROR(__xludf.DUMMYFUNCTION("""COMPUTED_VALUE"""),4186.4)</f>
        <v>4186.4</v>
      </c>
      <c r="AC31" s="6">
        <f>IFERROR(__xludf.DUMMYFUNCTION("""COMPUTED_VALUE"""),4207.7)</f>
        <v>4207.7</v>
      </c>
      <c r="AD31" s="6">
        <f>IFERROR(__xludf.DUMMYFUNCTION("""COMPUTED_VALUE"""),4190.0)</f>
        <v>4190</v>
      </c>
      <c r="AE31" s="6">
        <f>IFERROR(__xludf.DUMMYFUNCTION("""COMPUTED_VALUE"""),4209.4)</f>
        <v>4209.4</v>
      </c>
      <c r="AF31" s="6">
        <f>IFERROR(__xludf.DUMMYFUNCTION("""COMPUTED_VALUE"""),4210.0)</f>
        <v>4210</v>
      </c>
      <c r="AG31" s="6">
        <f t="shared" ref="AG31:BF31" si="32">F31/F$2</f>
        <v>0.1663345941</v>
      </c>
      <c r="AH31" s="6">
        <f t="shared" si="32"/>
        <v>0.165330852</v>
      </c>
      <c r="AI31" s="6">
        <f t="shared" si="32"/>
        <v>0.1656578555</v>
      </c>
      <c r="AJ31" s="6">
        <f t="shared" si="32"/>
        <v>0.1660174443</v>
      </c>
      <c r="AK31" s="6">
        <f t="shared" si="32"/>
        <v>0.1652943911</v>
      </c>
      <c r="AL31" s="6">
        <f t="shared" si="32"/>
        <v>0.1660769319</v>
      </c>
      <c r="AM31" s="6">
        <f t="shared" si="32"/>
        <v>0.1655445144</v>
      </c>
      <c r="AN31" s="6">
        <f t="shared" si="32"/>
        <v>0.1678366491</v>
      </c>
      <c r="AO31" s="6">
        <f t="shared" si="32"/>
        <v>0.1688488189</v>
      </c>
      <c r="AP31" s="6">
        <f t="shared" si="32"/>
        <v>0.1693008159</v>
      </c>
      <c r="AQ31" s="6">
        <f t="shared" si="32"/>
        <v>0.1731163275</v>
      </c>
      <c r="AR31" s="6">
        <f t="shared" si="32"/>
        <v>0.1715292568</v>
      </c>
      <c r="AS31" s="6">
        <f t="shared" si="32"/>
        <v>0.1703703231</v>
      </c>
      <c r="AT31" s="6">
        <f t="shared" si="32"/>
        <v>0.1688997505</v>
      </c>
      <c r="AU31" s="6">
        <f t="shared" si="32"/>
        <v>0.1683467462</v>
      </c>
      <c r="AV31" s="6">
        <f t="shared" si="32"/>
        <v>0.1691809284</v>
      </c>
      <c r="AW31" s="6">
        <f t="shared" si="32"/>
        <v>0.1676036846</v>
      </c>
      <c r="AX31" s="6">
        <f t="shared" si="32"/>
        <v>0.1678247663</v>
      </c>
      <c r="AY31" s="6">
        <f t="shared" si="32"/>
        <v>0.1687490173</v>
      </c>
      <c r="AZ31" s="6">
        <f t="shared" si="32"/>
        <v>0.1667415032</v>
      </c>
      <c r="BA31" s="6">
        <f t="shared" si="32"/>
        <v>0.1714141786</v>
      </c>
      <c r="BB31" s="6">
        <f t="shared" si="32"/>
        <v>0.174805797</v>
      </c>
      <c r="BC31" s="6">
        <f t="shared" si="32"/>
        <v>0.1745122274</v>
      </c>
      <c r="BD31" s="6">
        <f t="shared" si="32"/>
        <v>0.1746970194</v>
      </c>
      <c r="BE31" s="6">
        <f t="shared" si="32"/>
        <v>0.1733697451</v>
      </c>
      <c r="BF31" s="6">
        <f t="shared" si="32"/>
        <v>0.1752959843</v>
      </c>
    </row>
    <row r="32">
      <c r="A32" s="1" t="s">
        <v>33</v>
      </c>
      <c r="B32" s="6"/>
      <c r="C32" s="5">
        <f t="shared" si="11"/>
        <v>0.48</v>
      </c>
      <c r="D32" s="1" t="s">
        <v>32</v>
      </c>
      <c r="E32" s="6" t="str">
        <f>IFERROR(__xludf.DUMMYFUNCTION("GOOGLEFINANCE(D32, ""name"")
"),"ITC Ltd")</f>
        <v>ITC Ltd</v>
      </c>
      <c r="F32" s="6">
        <f>IFERROR(__xludf.DUMMYFUNCTION("{TRANSPOSE(QUERY(GOOGLEFINANCE(D32, ""close"", WORKDAY(TODAY(), -27), TODAY()-1), ""SELECT Col2 OFFSET 1"", 0)), GOOGLEFINANCE(D32, ""price"")}"),307.2)</f>
        <v>307.2</v>
      </c>
      <c r="G32" s="6">
        <f>IFERROR(__xludf.DUMMYFUNCTION("""COMPUTED_VALUE"""),309.45)</f>
        <v>309.45</v>
      </c>
      <c r="H32" s="6">
        <f>IFERROR(__xludf.DUMMYFUNCTION("""COMPUTED_VALUE"""),310.15)</f>
        <v>310.15</v>
      </c>
      <c r="I32" s="6">
        <f>IFERROR(__xludf.DUMMYFUNCTION("""COMPUTED_VALUE"""),310.3)</f>
        <v>310.3</v>
      </c>
      <c r="J32" s="6">
        <f>IFERROR(__xludf.DUMMYFUNCTION("""COMPUTED_VALUE"""),307.55)</f>
        <v>307.55</v>
      </c>
      <c r="K32" s="6">
        <f>IFERROR(__xludf.DUMMYFUNCTION("""COMPUTED_VALUE"""),308.05)</f>
        <v>308.05</v>
      </c>
      <c r="L32" s="6">
        <f>IFERROR(__xludf.DUMMYFUNCTION("""COMPUTED_VALUE"""),301.7)</f>
        <v>301.7</v>
      </c>
      <c r="M32" s="6">
        <f>IFERROR(__xludf.DUMMYFUNCTION("""COMPUTED_VALUE"""),303.95)</f>
        <v>303.95</v>
      </c>
      <c r="N32" s="6">
        <f>IFERROR(__xludf.DUMMYFUNCTION("""COMPUTED_VALUE"""),301.65)</f>
        <v>301.65</v>
      </c>
      <c r="O32" s="6">
        <f>IFERROR(__xludf.DUMMYFUNCTION("""COMPUTED_VALUE"""),291.95)</f>
        <v>291.95</v>
      </c>
      <c r="P32" s="6">
        <f>IFERROR(__xludf.DUMMYFUNCTION("""COMPUTED_VALUE"""),286.9)</f>
        <v>286.9</v>
      </c>
      <c r="Q32" s="6">
        <f>IFERROR(__xludf.DUMMYFUNCTION("""COMPUTED_VALUE"""),279.65)</f>
        <v>279.65</v>
      </c>
      <c r="R32" s="6">
        <f>IFERROR(__xludf.DUMMYFUNCTION("""COMPUTED_VALUE"""),283.25)</f>
        <v>283.25</v>
      </c>
      <c r="S32" s="6">
        <f>IFERROR(__xludf.DUMMYFUNCTION("""COMPUTED_VALUE"""),277.0)</f>
        <v>277</v>
      </c>
      <c r="T32" s="6">
        <f>IFERROR(__xludf.DUMMYFUNCTION("""COMPUTED_VALUE"""),280.3)</f>
        <v>280.3</v>
      </c>
      <c r="U32" s="6">
        <f>IFERROR(__xludf.DUMMYFUNCTION("""COMPUTED_VALUE"""),280.7)</f>
        <v>280.7</v>
      </c>
      <c r="V32" s="6">
        <f>IFERROR(__xludf.DUMMYFUNCTION("""COMPUTED_VALUE"""),279.45)</f>
        <v>279.45</v>
      </c>
      <c r="W32" s="6">
        <f>IFERROR(__xludf.DUMMYFUNCTION("""COMPUTED_VALUE"""),280.0)</f>
        <v>280</v>
      </c>
      <c r="X32" s="6">
        <f>IFERROR(__xludf.DUMMYFUNCTION("""COMPUTED_VALUE"""),283.65)</f>
        <v>283.65</v>
      </c>
      <c r="Y32" s="6">
        <f>IFERROR(__xludf.DUMMYFUNCTION("""COMPUTED_VALUE"""),282.4)</f>
        <v>282.4</v>
      </c>
      <c r="Z32" s="6">
        <f>IFERROR(__xludf.DUMMYFUNCTION("""COMPUTED_VALUE"""),285.1)</f>
        <v>285.1</v>
      </c>
      <c r="AA32" s="6">
        <f>IFERROR(__xludf.DUMMYFUNCTION("""COMPUTED_VALUE"""),287.9)</f>
        <v>287.9</v>
      </c>
      <c r="AB32" s="6">
        <f>IFERROR(__xludf.DUMMYFUNCTION("""COMPUTED_VALUE"""),291.65)</f>
        <v>291.65</v>
      </c>
      <c r="AC32" s="6">
        <f>IFERROR(__xludf.DUMMYFUNCTION("""COMPUTED_VALUE"""),290.75)</f>
        <v>290.75</v>
      </c>
      <c r="AD32" s="6">
        <f>IFERROR(__xludf.DUMMYFUNCTION("""COMPUTED_VALUE"""),291.15)</f>
        <v>291.15</v>
      </c>
      <c r="AE32" s="6">
        <f>IFERROR(__xludf.DUMMYFUNCTION("""COMPUTED_VALUE"""),292.5)</f>
        <v>292.5</v>
      </c>
      <c r="AF32" s="6">
        <f>IFERROR(__xludf.DUMMYFUNCTION("""COMPUTED_VALUE"""),293.9)</f>
        <v>293.9</v>
      </c>
      <c r="AG32" s="6">
        <f t="shared" ref="AG32:BF32" si="33">F32/F$2</f>
        <v>0.01296771579</v>
      </c>
      <c r="AH32" s="6">
        <f t="shared" si="33"/>
        <v>0.01308816377</v>
      </c>
      <c r="AI32" s="6">
        <f t="shared" si="33"/>
        <v>0.01311419263</v>
      </c>
      <c r="AJ32" s="6">
        <f t="shared" si="33"/>
        <v>0.01313828436</v>
      </c>
      <c r="AK32" s="6">
        <f t="shared" si="33"/>
        <v>0.01299928146</v>
      </c>
      <c r="AL32" s="6">
        <f t="shared" si="33"/>
        <v>0.01302278194</v>
      </c>
      <c r="AM32" s="6">
        <f t="shared" si="33"/>
        <v>0.01271959965</v>
      </c>
      <c r="AN32" s="6">
        <f t="shared" si="33"/>
        <v>0.0126478776</v>
      </c>
      <c r="AO32" s="6">
        <f t="shared" si="33"/>
        <v>0.01261410823</v>
      </c>
      <c r="AP32" s="6">
        <f t="shared" si="33"/>
        <v>0.01221182784</v>
      </c>
      <c r="AQ32" s="6">
        <f t="shared" si="33"/>
        <v>0.01218375429</v>
      </c>
      <c r="AR32" s="6">
        <f t="shared" si="33"/>
        <v>0.01195974785</v>
      </c>
      <c r="AS32" s="6">
        <f t="shared" si="33"/>
        <v>0.01206163463</v>
      </c>
      <c r="AT32" s="6">
        <f t="shared" si="33"/>
        <v>0.01183477458</v>
      </c>
      <c r="AU32" s="6">
        <f t="shared" si="33"/>
        <v>0.0119701664</v>
      </c>
      <c r="AV32" s="6">
        <f t="shared" si="33"/>
        <v>0.01201282167</v>
      </c>
      <c r="AW32" s="6">
        <f t="shared" si="33"/>
        <v>0.01208536955</v>
      </c>
      <c r="AX32" s="6">
        <f t="shared" si="33"/>
        <v>0.01204710418</v>
      </c>
      <c r="AY32" s="6">
        <f t="shared" si="33"/>
        <v>0.0122184196</v>
      </c>
      <c r="AZ32" s="6">
        <f t="shared" si="33"/>
        <v>0.01219259464</v>
      </c>
      <c r="BA32" s="6">
        <f t="shared" si="33"/>
        <v>0.01206879765</v>
      </c>
      <c r="BB32" s="6">
        <f t="shared" si="33"/>
        <v>0.01206930523</v>
      </c>
      <c r="BC32" s="6">
        <f t="shared" si="33"/>
        <v>0.01215757957</v>
      </c>
      <c r="BD32" s="6">
        <f t="shared" si="33"/>
        <v>0.0120714781</v>
      </c>
      <c r="BE32" s="6">
        <f t="shared" si="33"/>
        <v>0.01204692155</v>
      </c>
      <c r="BF32" s="6">
        <f t="shared" si="33"/>
        <v>0.01218085129</v>
      </c>
    </row>
    <row r="33">
      <c r="A33" s="1" t="s">
        <v>34</v>
      </c>
      <c r="B33" s="6"/>
      <c r="C33" s="5">
        <f t="shared" si="11"/>
        <v>0.32</v>
      </c>
      <c r="D33" s="1" t="s">
        <v>33</v>
      </c>
      <c r="E33" s="6" t="str">
        <f>IFERROR(__xludf.DUMMYFUNCTION("GOOGLEFINANCE(D33, ""name"")
"),"Hindustan Unilever Ltd")</f>
        <v>Hindustan Unilever Ltd</v>
      </c>
      <c r="F33" s="6">
        <f>IFERROR(__xludf.DUMMYFUNCTION("{TRANSPOSE(QUERY(GOOGLEFINANCE(D33, ""close"", WORKDAY(TODAY(), -27), TODAY()-1), ""SELECT Col2 OFFSET 1"", 0)), GOOGLEFINANCE(D33, ""price"")}"),2248.7)</f>
        <v>2248.7</v>
      </c>
      <c r="G33" s="6">
        <f>IFERROR(__xludf.DUMMYFUNCTION("""COMPUTED_VALUE"""),2272.2)</f>
        <v>2272.2</v>
      </c>
      <c r="H33" s="6">
        <f>IFERROR(__xludf.DUMMYFUNCTION("""COMPUTED_VALUE"""),2254.2)</f>
        <v>2254.2</v>
      </c>
      <c r="I33" s="6">
        <f>IFERROR(__xludf.DUMMYFUNCTION("""COMPUTED_VALUE"""),2232.9)</f>
        <v>2232.9</v>
      </c>
      <c r="J33" s="6">
        <f>IFERROR(__xludf.DUMMYFUNCTION("""COMPUTED_VALUE"""),2209.3)</f>
        <v>2209.3</v>
      </c>
      <c r="K33" s="6">
        <f>IFERROR(__xludf.DUMMYFUNCTION("""COMPUTED_VALUE"""),2179.0)</f>
        <v>2179</v>
      </c>
      <c r="L33" s="6">
        <f>IFERROR(__xludf.DUMMYFUNCTION("""COMPUTED_VALUE"""),2203.6)</f>
        <v>2203.6</v>
      </c>
      <c r="M33" s="6">
        <f>IFERROR(__xludf.DUMMYFUNCTION("""COMPUTED_VALUE"""),2196.5)</f>
        <v>2196.5</v>
      </c>
      <c r="N33" s="6">
        <f>IFERROR(__xludf.DUMMYFUNCTION("""COMPUTED_VALUE"""),2209.4)</f>
        <v>2209.4</v>
      </c>
      <c r="O33" s="6">
        <f>IFERROR(__xludf.DUMMYFUNCTION("""COMPUTED_VALUE"""),2198.4)</f>
        <v>2198.4</v>
      </c>
      <c r="P33" s="6">
        <f>IFERROR(__xludf.DUMMYFUNCTION("""COMPUTED_VALUE"""),2153.5)</f>
        <v>2153.5</v>
      </c>
      <c r="Q33" s="6">
        <f>IFERROR(__xludf.DUMMYFUNCTION("""COMPUTED_VALUE"""),2084.3)</f>
        <v>2084.3</v>
      </c>
      <c r="R33" s="6">
        <f>IFERROR(__xludf.DUMMYFUNCTION("""COMPUTED_VALUE"""),2093.7)</f>
        <v>2093.7</v>
      </c>
      <c r="S33" s="6">
        <f>IFERROR(__xludf.DUMMYFUNCTION("""COMPUTED_VALUE"""),2090.6)</f>
        <v>2090.6</v>
      </c>
      <c r="T33" s="6">
        <f>IFERROR(__xludf.DUMMYFUNCTION("""COMPUTED_VALUE"""),2079.4)</f>
        <v>2079.4</v>
      </c>
      <c r="U33" s="6">
        <f>IFERROR(__xludf.DUMMYFUNCTION("""COMPUTED_VALUE"""),2121.5)</f>
        <v>2121.5</v>
      </c>
      <c r="V33" s="6">
        <f>IFERROR(__xludf.DUMMYFUNCTION("""COMPUTED_VALUE"""),2110.1)</f>
        <v>2110.1</v>
      </c>
      <c r="W33" s="6">
        <f>IFERROR(__xludf.DUMMYFUNCTION("""COMPUTED_VALUE"""),2132.8)</f>
        <v>2132.8</v>
      </c>
      <c r="X33" s="6">
        <f>IFERROR(__xludf.DUMMYFUNCTION("""COMPUTED_VALUE"""),2169.5)</f>
        <v>2169.5</v>
      </c>
      <c r="Y33" s="6">
        <f>IFERROR(__xludf.DUMMYFUNCTION("""COMPUTED_VALUE"""),2139.8)</f>
        <v>2139.8</v>
      </c>
      <c r="Z33" s="6">
        <f>IFERROR(__xludf.DUMMYFUNCTION("""COMPUTED_VALUE"""),2168.8)</f>
        <v>2168.8</v>
      </c>
      <c r="AA33" s="6">
        <f>IFERROR(__xludf.DUMMYFUNCTION("""COMPUTED_VALUE"""),2156.1)</f>
        <v>2156.1</v>
      </c>
      <c r="AB33" s="6">
        <f>IFERROR(__xludf.DUMMYFUNCTION("""COMPUTED_VALUE"""),2199.9)</f>
        <v>2199.9</v>
      </c>
      <c r="AC33" s="6">
        <f>IFERROR(__xludf.DUMMYFUNCTION("""COMPUTED_VALUE"""),2197.6)</f>
        <v>2197.6</v>
      </c>
      <c r="AD33" s="6">
        <f>IFERROR(__xludf.DUMMYFUNCTION("""COMPUTED_VALUE"""),2218.5)</f>
        <v>2218.5</v>
      </c>
      <c r="AE33" s="6">
        <f>IFERROR(__xludf.DUMMYFUNCTION("""COMPUTED_VALUE"""),2194.6)</f>
        <v>2194.6</v>
      </c>
      <c r="AF33" s="6">
        <f>IFERROR(__xludf.DUMMYFUNCTION("""COMPUTED_VALUE"""),2202.0)</f>
        <v>2202</v>
      </c>
      <c r="AG33" s="6">
        <f t="shared" ref="AG33:BF33" si="34">F33/F$2</f>
        <v>0.09492351074</v>
      </c>
      <c r="AH33" s="6">
        <f t="shared" si="34"/>
        <v>0.09610252289</v>
      </c>
      <c r="AI33" s="6">
        <f t="shared" si="34"/>
        <v>0.09531521208</v>
      </c>
      <c r="AJ33" s="6">
        <f t="shared" si="34"/>
        <v>0.09454229825</v>
      </c>
      <c r="AK33" s="6">
        <f t="shared" si="34"/>
        <v>0.09338095439</v>
      </c>
      <c r="AL33" s="6">
        <f t="shared" si="34"/>
        <v>0.092117</v>
      </c>
      <c r="AM33" s="6">
        <f t="shared" si="34"/>
        <v>0.09290324757</v>
      </c>
      <c r="AN33" s="6">
        <f t="shared" si="34"/>
        <v>0.09140010902</v>
      </c>
      <c r="AO33" s="6">
        <f t="shared" si="34"/>
        <v>0.09239055437</v>
      </c>
      <c r="AP33" s="6">
        <f t="shared" si="34"/>
        <v>0.09195575382</v>
      </c>
      <c r="AQ33" s="6">
        <f t="shared" si="34"/>
        <v>0.09145247423</v>
      </c>
      <c r="AR33" s="6">
        <f t="shared" si="34"/>
        <v>0.08913893237</v>
      </c>
      <c r="AS33" s="6">
        <f t="shared" si="34"/>
        <v>0.08915602624</v>
      </c>
      <c r="AT33" s="6">
        <f t="shared" si="34"/>
        <v>0.08932050449</v>
      </c>
      <c r="AU33" s="6">
        <f t="shared" si="34"/>
        <v>0.08880044242</v>
      </c>
      <c r="AV33" s="6">
        <f t="shared" si="34"/>
        <v>0.09079159659</v>
      </c>
      <c r="AW33" s="6">
        <f t="shared" si="34"/>
        <v>0.09125545993</v>
      </c>
      <c r="AX33" s="6">
        <f t="shared" si="34"/>
        <v>0.09176451353</v>
      </c>
      <c r="AY33" s="6">
        <f t="shared" si="34"/>
        <v>0.09345271043</v>
      </c>
      <c r="AZ33" s="6">
        <f t="shared" si="34"/>
        <v>0.09238567284</v>
      </c>
      <c r="BA33" s="6">
        <f t="shared" si="34"/>
        <v>0.09180921902</v>
      </c>
      <c r="BB33" s="6">
        <f t="shared" si="34"/>
        <v>0.09038773534</v>
      </c>
      <c r="BC33" s="6">
        <f t="shared" si="34"/>
        <v>0.09170395783</v>
      </c>
      <c r="BD33" s="6">
        <f t="shared" si="34"/>
        <v>0.09124086076</v>
      </c>
      <c r="BE33" s="6">
        <f t="shared" si="34"/>
        <v>0.09179493545</v>
      </c>
      <c r="BF33" s="6">
        <f t="shared" si="34"/>
        <v>0.09139178199</v>
      </c>
    </row>
    <row r="34">
      <c r="A34" s="1" t="s">
        <v>35</v>
      </c>
      <c r="B34" s="6"/>
      <c r="C34" s="5">
        <f t="shared" si="11"/>
        <v>1</v>
      </c>
      <c r="D34" s="1" t="s">
        <v>34</v>
      </c>
      <c r="E34" s="6" t="str">
        <f>IFERROR(__xludf.DUMMYFUNCTION("GOOGLEFINANCE(D34, ""name"")
"),"Bajaj Finance Ltd")</f>
        <v>Bajaj Finance Ltd</v>
      </c>
      <c r="F34" s="6">
        <f>IFERROR(__xludf.DUMMYFUNCTION("{TRANSPOSE(QUERY(GOOGLEFINANCE(D34, ""close"", WORKDAY(TODAY(), -27), TODAY()-1), ""SELECT Col2 OFFSET 1"", 0)), GOOGLEFINANCE(D34, ""price"")}"),912.15)</f>
        <v>912.15</v>
      </c>
      <c r="G34" s="6">
        <f>IFERROR(__xludf.DUMMYFUNCTION("""COMPUTED_VALUE"""),910.45)</f>
        <v>910.45</v>
      </c>
      <c r="H34" s="6">
        <f>IFERROR(__xludf.DUMMYFUNCTION("""COMPUTED_VALUE"""),921.1)</f>
        <v>921.1</v>
      </c>
      <c r="I34" s="6">
        <f>IFERROR(__xludf.DUMMYFUNCTION("""COMPUTED_VALUE"""),923.55)</f>
        <v>923.55</v>
      </c>
      <c r="J34" s="6">
        <f>IFERROR(__xludf.DUMMYFUNCTION("""COMPUTED_VALUE"""),923.1)</f>
        <v>923.1</v>
      </c>
      <c r="K34" s="6">
        <f>IFERROR(__xludf.DUMMYFUNCTION("""COMPUTED_VALUE"""),907.65)</f>
        <v>907.65</v>
      </c>
      <c r="L34" s="6">
        <f>IFERROR(__xludf.DUMMYFUNCTION("""COMPUTED_VALUE"""),916.55)</f>
        <v>916.55</v>
      </c>
      <c r="M34" s="6">
        <f>IFERROR(__xludf.DUMMYFUNCTION("""COMPUTED_VALUE"""),941.9)</f>
        <v>941.9</v>
      </c>
      <c r="N34" s="6">
        <f>IFERROR(__xludf.DUMMYFUNCTION("""COMPUTED_VALUE"""),930.2)</f>
        <v>930.2</v>
      </c>
      <c r="O34" s="6">
        <f>IFERROR(__xludf.DUMMYFUNCTION("""COMPUTED_VALUE"""),931.15)</f>
        <v>931.15</v>
      </c>
      <c r="P34" s="6">
        <f>IFERROR(__xludf.DUMMYFUNCTION("""COMPUTED_VALUE"""),908.25)</f>
        <v>908.25</v>
      </c>
      <c r="Q34" s="6">
        <f>IFERROR(__xludf.DUMMYFUNCTION("""COMPUTED_VALUE"""),889.05)</f>
        <v>889.05</v>
      </c>
      <c r="R34" s="6">
        <f>IFERROR(__xludf.DUMMYFUNCTION("""COMPUTED_VALUE"""),882.0)</f>
        <v>882</v>
      </c>
      <c r="S34" s="6">
        <f>IFERROR(__xludf.DUMMYFUNCTION("""COMPUTED_VALUE"""),876.8)</f>
        <v>876.8</v>
      </c>
      <c r="T34" s="6">
        <f>IFERROR(__xludf.DUMMYFUNCTION("""COMPUTED_VALUE"""),874.4)</f>
        <v>874.4</v>
      </c>
      <c r="U34" s="6">
        <f>IFERROR(__xludf.DUMMYFUNCTION("""COMPUTED_VALUE"""),889.4)</f>
        <v>889.4</v>
      </c>
      <c r="V34" s="6">
        <f>IFERROR(__xludf.DUMMYFUNCTION("""COMPUTED_VALUE"""),871.1)</f>
        <v>871.1</v>
      </c>
      <c r="W34" s="6">
        <f>IFERROR(__xludf.DUMMYFUNCTION("""COMPUTED_VALUE"""),886.9)</f>
        <v>886.9</v>
      </c>
      <c r="X34" s="6">
        <f>IFERROR(__xludf.DUMMYFUNCTION("""COMPUTED_VALUE"""),884.1)</f>
        <v>884.1</v>
      </c>
      <c r="Y34" s="6">
        <f>IFERROR(__xludf.DUMMYFUNCTION("""COMPUTED_VALUE"""),870.55)</f>
        <v>870.55</v>
      </c>
      <c r="Z34" s="6">
        <f>IFERROR(__xludf.DUMMYFUNCTION("""COMPUTED_VALUE"""),918.3)</f>
        <v>918.3</v>
      </c>
      <c r="AA34" s="6">
        <f>IFERROR(__xludf.DUMMYFUNCTION("""COMPUTED_VALUE"""),942.3)</f>
        <v>942.3</v>
      </c>
      <c r="AB34" s="6">
        <f>IFERROR(__xludf.DUMMYFUNCTION("""COMPUTED_VALUE"""),959.65)</f>
        <v>959.65</v>
      </c>
      <c r="AC34" s="6">
        <f>IFERROR(__xludf.DUMMYFUNCTION("""COMPUTED_VALUE"""),958.4)</f>
        <v>958.4</v>
      </c>
      <c r="AD34" s="6">
        <f>IFERROR(__xludf.DUMMYFUNCTION("""COMPUTED_VALUE"""),958.85)</f>
        <v>958.85</v>
      </c>
      <c r="AE34" s="6">
        <f>IFERROR(__xludf.DUMMYFUNCTION("""COMPUTED_VALUE"""),961.8)</f>
        <v>961.8</v>
      </c>
      <c r="AF34" s="6">
        <f>IFERROR(__xludf.DUMMYFUNCTION("""COMPUTED_VALUE"""),965.0)</f>
        <v>965</v>
      </c>
      <c r="AG34" s="6">
        <f t="shared" ref="AG34:BF34" si="35">F34/F$2</f>
        <v>0.03850423815</v>
      </c>
      <c r="AH34" s="6">
        <f t="shared" si="35"/>
        <v>0.03850741219</v>
      </c>
      <c r="AI34" s="6">
        <f t="shared" si="35"/>
        <v>0.03894722822</v>
      </c>
      <c r="AJ34" s="6">
        <f t="shared" si="35"/>
        <v>0.03910364976</v>
      </c>
      <c r="AK34" s="6">
        <f t="shared" si="35"/>
        <v>0.03901686462</v>
      </c>
      <c r="AL34" s="6">
        <f t="shared" si="35"/>
        <v>0.03837081003</v>
      </c>
      <c r="AM34" s="6">
        <f t="shared" si="35"/>
        <v>0.03864152821</v>
      </c>
      <c r="AN34" s="6">
        <f t="shared" si="35"/>
        <v>0.03919406451</v>
      </c>
      <c r="AO34" s="6">
        <f t="shared" si="35"/>
        <v>0.03889820479</v>
      </c>
      <c r="AP34" s="6">
        <f t="shared" si="35"/>
        <v>0.03894859906</v>
      </c>
      <c r="AQ34" s="6">
        <f t="shared" si="35"/>
        <v>0.03857056407</v>
      </c>
      <c r="AR34" s="6">
        <f t="shared" si="35"/>
        <v>0.03802186241</v>
      </c>
      <c r="AS34" s="6">
        <f t="shared" si="35"/>
        <v>0.03755820564</v>
      </c>
      <c r="AT34" s="6">
        <f t="shared" si="35"/>
        <v>0.03746112042</v>
      </c>
      <c r="AU34" s="6">
        <f t="shared" si="35"/>
        <v>0.03734111131</v>
      </c>
      <c r="AV34" s="6">
        <f t="shared" si="35"/>
        <v>0.03806271318</v>
      </c>
      <c r="AW34" s="6">
        <f t="shared" si="35"/>
        <v>0.03767244735</v>
      </c>
      <c r="AX34" s="6">
        <f t="shared" si="35"/>
        <v>0.03815920248</v>
      </c>
      <c r="AY34" s="6">
        <f t="shared" si="35"/>
        <v>0.03808321793</v>
      </c>
      <c r="AZ34" s="6">
        <f t="shared" si="35"/>
        <v>0.03758591807</v>
      </c>
      <c r="BA34" s="6">
        <f t="shared" si="35"/>
        <v>0.03887329667</v>
      </c>
      <c r="BB34" s="6">
        <f t="shared" si="35"/>
        <v>0.03950297436</v>
      </c>
      <c r="BC34" s="6">
        <f t="shared" si="35"/>
        <v>0.04000350158</v>
      </c>
      <c r="BD34" s="6">
        <f t="shared" si="35"/>
        <v>0.03979124543</v>
      </c>
      <c r="BE34" s="6">
        <f t="shared" si="35"/>
        <v>0.03967436279</v>
      </c>
      <c r="BF34" s="6">
        <f t="shared" si="35"/>
        <v>0.04005313766</v>
      </c>
    </row>
    <row r="35">
      <c r="A35" s="1" t="s">
        <v>36</v>
      </c>
      <c r="B35" s="6"/>
      <c r="C35" s="5">
        <f t="shared" si="11"/>
        <v>0.48</v>
      </c>
      <c r="D35" s="1" t="s">
        <v>35</v>
      </c>
      <c r="E35" s="6" t="str">
        <f>IFERROR(__xludf.DUMMYFUNCTION("GOOGLEFINANCE(D35, ""name"")
"),"Maruti Suzuki India Ltd")</f>
        <v>Maruti Suzuki India Ltd</v>
      </c>
      <c r="F35" s="6">
        <f>IFERROR(__xludf.DUMMYFUNCTION("{TRANSPOSE(QUERY(GOOGLEFINANCE(D35, ""close"", WORKDAY(TODAY(), -27), TODAY()-1), ""SELECT Col2 OFFSET 1"", 0)), GOOGLEFINANCE(D35, ""price"")}"),13075.0)</f>
        <v>13075</v>
      </c>
      <c r="G35" s="6">
        <f>IFERROR(__xludf.DUMMYFUNCTION("""COMPUTED_VALUE"""),13221.0)</f>
        <v>13221</v>
      </c>
      <c r="H35" s="6">
        <f>IFERROR(__xludf.DUMMYFUNCTION("""COMPUTED_VALUE"""),13016.0)</f>
        <v>13016</v>
      </c>
      <c r="I35" s="6">
        <f>IFERROR(__xludf.DUMMYFUNCTION("""COMPUTED_VALUE"""),12956.0)</f>
        <v>12956</v>
      </c>
      <c r="J35" s="6">
        <f>IFERROR(__xludf.DUMMYFUNCTION("""COMPUTED_VALUE"""),13003.0)</f>
        <v>13003</v>
      </c>
      <c r="K35" s="6">
        <f>IFERROR(__xludf.DUMMYFUNCTION("""COMPUTED_VALUE"""),13010.0)</f>
        <v>13010</v>
      </c>
      <c r="L35" s="6">
        <f>IFERROR(__xludf.DUMMYFUNCTION("""COMPUTED_VALUE"""),12987.0)</f>
        <v>12987</v>
      </c>
      <c r="M35" s="6">
        <f>IFERROR(__xludf.DUMMYFUNCTION("""COMPUTED_VALUE"""),13170.0)</f>
        <v>13170</v>
      </c>
      <c r="N35" s="6">
        <f>IFERROR(__xludf.DUMMYFUNCTION("""COMPUTED_VALUE"""),13208.0)</f>
        <v>13208</v>
      </c>
      <c r="O35" s="6">
        <f>IFERROR(__xludf.DUMMYFUNCTION("""COMPUTED_VALUE"""),13364.0)</f>
        <v>13364</v>
      </c>
      <c r="P35" s="6">
        <f>IFERROR(__xludf.DUMMYFUNCTION("""COMPUTED_VALUE"""),13127.0)</f>
        <v>13127</v>
      </c>
      <c r="Q35" s="6">
        <f>IFERROR(__xludf.DUMMYFUNCTION("""COMPUTED_VALUE"""),12946.0)</f>
        <v>12946</v>
      </c>
      <c r="R35" s="6">
        <f>IFERROR(__xludf.DUMMYFUNCTION("""COMPUTED_VALUE"""),13022.0)</f>
        <v>13022</v>
      </c>
      <c r="S35" s="6">
        <f>IFERROR(__xludf.DUMMYFUNCTION("""COMPUTED_VALUE"""),13044.0)</f>
        <v>13044</v>
      </c>
      <c r="T35" s="6">
        <f>IFERROR(__xludf.DUMMYFUNCTION("""COMPUTED_VALUE"""),13064.0)</f>
        <v>13064</v>
      </c>
      <c r="U35" s="6">
        <f>IFERROR(__xludf.DUMMYFUNCTION("""COMPUTED_VALUE"""),13050.0)</f>
        <v>13050</v>
      </c>
      <c r="V35" s="6">
        <f>IFERROR(__xludf.DUMMYFUNCTION("""COMPUTED_VALUE"""),12912.0)</f>
        <v>12912</v>
      </c>
      <c r="W35" s="6">
        <f>IFERROR(__xludf.DUMMYFUNCTION("""COMPUTED_VALUE"""),13120.0)</f>
        <v>13120</v>
      </c>
      <c r="X35" s="6">
        <f>IFERROR(__xludf.DUMMYFUNCTION("""COMPUTED_VALUE"""),13073.0)</f>
        <v>13073</v>
      </c>
      <c r="Y35" s="6">
        <f>IFERROR(__xludf.DUMMYFUNCTION("""COMPUTED_VALUE"""),13098.0)</f>
        <v>13098</v>
      </c>
      <c r="Z35" s="6">
        <f>IFERROR(__xludf.DUMMYFUNCTION("""COMPUTED_VALUE"""),13366.0)</f>
        <v>13366</v>
      </c>
      <c r="AA35" s="6">
        <f>IFERROR(__xludf.DUMMYFUNCTION("""COMPUTED_VALUE"""),13805.0)</f>
        <v>13805</v>
      </c>
      <c r="AB35" s="6">
        <f>IFERROR(__xludf.DUMMYFUNCTION("""COMPUTED_VALUE"""),13691.0)</f>
        <v>13691</v>
      </c>
      <c r="AC35" s="6">
        <f>IFERROR(__xludf.DUMMYFUNCTION("""COMPUTED_VALUE"""),13630.0)</f>
        <v>13630</v>
      </c>
      <c r="AD35" s="6">
        <f>IFERROR(__xludf.DUMMYFUNCTION("""COMPUTED_VALUE"""),13484.0)</f>
        <v>13484</v>
      </c>
      <c r="AE35" s="6">
        <f>IFERROR(__xludf.DUMMYFUNCTION("""COMPUTED_VALUE"""),13395.0)</f>
        <v>13395</v>
      </c>
      <c r="AF35" s="6">
        <f>IFERROR(__xludf.DUMMYFUNCTION("""COMPUTED_VALUE"""),13422.0)</f>
        <v>13422</v>
      </c>
      <c r="AG35" s="6">
        <f t="shared" ref="AG35:BF35" si="36">F35/F$2</f>
        <v>0.5519299608</v>
      </c>
      <c r="AH35" s="6">
        <f t="shared" si="36"/>
        <v>0.5591811703</v>
      </c>
      <c r="AI35" s="6">
        <f t="shared" si="36"/>
        <v>0.5503605716</v>
      </c>
      <c r="AJ35" s="6">
        <f t="shared" si="36"/>
        <v>0.5485646541</v>
      </c>
      <c r="AK35" s="6">
        <f t="shared" si="36"/>
        <v>0.5496005748</v>
      </c>
      <c r="AL35" s="6">
        <f t="shared" si="36"/>
        <v>0.5499964066</v>
      </c>
      <c r="AM35" s="6">
        <f t="shared" si="36"/>
        <v>0.5475288057</v>
      </c>
      <c r="AN35" s="6">
        <f t="shared" si="36"/>
        <v>0.5480261488</v>
      </c>
      <c r="AO35" s="6">
        <f t="shared" si="36"/>
        <v>0.5523193818</v>
      </c>
      <c r="AP35" s="6">
        <f t="shared" si="36"/>
        <v>0.5589959489</v>
      </c>
      <c r="AQ35" s="6">
        <f t="shared" si="36"/>
        <v>0.5574630273</v>
      </c>
      <c r="AR35" s="6">
        <f t="shared" si="36"/>
        <v>0.5536595588</v>
      </c>
      <c r="AS35" s="6">
        <f t="shared" si="36"/>
        <v>0.5545158206</v>
      </c>
      <c r="AT35" s="6">
        <f t="shared" si="36"/>
        <v>0.5573025259</v>
      </c>
      <c r="AU35" s="6">
        <f t="shared" si="36"/>
        <v>0.557896018</v>
      </c>
      <c r="AV35" s="6">
        <f t="shared" si="36"/>
        <v>0.5584870778</v>
      </c>
      <c r="AW35" s="6">
        <f t="shared" si="36"/>
        <v>0.5584050512</v>
      </c>
      <c r="AX35" s="6">
        <f t="shared" si="36"/>
        <v>0.5644928815</v>
      </c>
      <c r="AY35" s="6">
        <f t="shared" si="36"/>
        <v>0.5631285012</v>
      </c>
      <c r="AZ35" s="6">
        <f t="shared" si="36"/>
        <v>0.5655049737</v>
      </c>
      <c r="BA35" s="6">
        <f t="shared" si="36"/>
        <v>0.5658069077</v>
      </c>
      <c r="BB35" s="6">
        <f t="shared" si="36"/>
        <v>0.5787313605</v>
      </c>
      <c r="BC35" s="6">
        <f t="shared" si="36"/>
        <v>0.5707163447</v>
      </c>
      <c r="BD35" s="6">
        <f t="shared" si="36"/>
        <v>0.5658959466</v>
      </c>
      <c r="BE35" s="6">
        <f t="shared" si="36"/>
        <v>0.5579278385</v>
      </c>
      <c r="BF35" s="6">
        <f t="shared" si="36"/>
        <v>0.557820523</v>
      </c>
    </row>
    <row r="36">
      <c r="A36" s="1" t="s">
        <v>37</v>
      </c>
      <c r="B36" s="6"/>
      <c r="C36" s="5">
        <f t="shared" si="11"/>
        <v>0.84</v>
      </c>
      <c r="D36" s="1" t="s">
        <v>36</v>
      </c>
      <c r="E36" s="6" t="str">
        <f>IFERROR(__xludf.DUMMYFUNCTION("GOOGLEFINANCE(D36, ""name"")
"),"Adani Enterprises Ltd")</f>
        <v>Adani Enterprises Ltd</v>
      </c>
      <c r="F36" s="6">
        <f>IFERROR(__xludf.DUMMYFUNCTION("{TRANSPOSE(QUERY(GOOGLEFINANCE(D36, ""close"", WORKDAY(TODAY(), -27), TODAY()-1), ""SELECT Col2 OFFSET 1"", 0)), GOOGLEFINANCE(D36, ""price"")}"),2712.9)</f>
        <v>2712.9</v>
      </c>
      <c r="G36" s="6">
        <f>IFERROR(__xludf.DUMMYFUNCTION("""COMPUTED_VALUE"""),2716.0)</f>
        <v>2716</v>
      </c>
      <c r="H36" s="6">
        <f>IFERROR(__xludf.DUMMYFUNCTION("""COMPUTED_VALUE"""),2689.8)</f>
        <v>2689.8</v>
      </c>
      <c r="I36" s="6">
        <f>IFERROR(__xludf.DUMMYFUNCTION("""COMPUTED_VALUE"""),2725.0)</f>
        <v>2725</v>
      </c>
      <c r="J36" s="6">
        <f>IFERROR(__xludf.DUMMYFUNCTION("""COMPUTED_VALUE"""),2704.8)</f>
        <v>2704.8</v>
      </c>
      <c r="K36" s="6">
        <f>IFERROR(__xludf.DUMMYFUNCTION("""COMPUTED_VALUE"""),2697.6)</f>
        <v>2697.6</v>
      </c>
      <c r="L36" s="6">
        <f>IFERROR(__xludf.DUMMYFUNCTION("""COMPUTED_VALUE"""),2717.3)</f>
        <v>2717.3</v>
      </c>
      <c r="M36" s="6">
        <f>IFERROR(__xludf.DUMMYFUNCTION("""COMPUTED_VALUE"""),2849.7)</f>
        <v>2849.7</v>
      </c>
      <c r="N36" s="6">
        <f>IFERROR(__xludf.DUMMYFUNCTION("""COMPUTED_VALUE"""),2969.3)</f>
        <v>2969.3</v>
      </c>
      <c r="O36" s="6">
        <f>IFERROR(__xludf.DUMMYFUNCTION("""COMPUTED_VALUE"""),2973.1)</f>
        <v>2973.1</v>
      </c>
      <c r="P36" s="6">
        <f>IFERROR(__xludf.DUMMYFUNCTION("""COMPUTED_VALUE"""),2937.4)</f>
        <v>2937.4</v>
      </c>
      <c r="Q36" s="6">
        <f>IFERROR(__xludf.DUMMYFUNCTION("""COMPUTED_VALUE"""),2909.4)</f>
        <v>2909.4</v>
      </c>
      <c r="R36" s="6">
        <f>IFERROR(__xludf.DUMMYFUNCTION("""COMPUTED_VALUE"""),2968.1)</f>
        <v>2968.1</v>
      </c>
      <c r="S36" s="6">
        <f>IFERROR(__xludf.DUMMYFUNCTION("""COMPUTED_VALUE"""),2925.6)</f>
        <v>2925.6</v>
      </c>
      <c r="T36" s="6">
        <f>IFERROR(__xludf.DUMMYFUNCTION("""COMPUTED_VALUE"""),2972.8)</f>
        <v>2972.8</v>
      </c>
      <c r="U36" s="6">
        <f>IFERROR(__xludf.DUMMYFUNCTION("""COMPUTED_VALUE"""),3048.2)</f>
        <v>3048.2</v>
      </c>
      <c r="V36" s="6">
        <f>IFERROR(__xludf.DUMMYFUNCTION("""COMPUTED_VALUE"""),2970.0)</f>
        <v>2970</v>
      </c>
      <c r="W36" s="6">
        <f>IFERROR(__xludf.DUMMYFUNCTION("""COMPUTED_VALUE"""),2979.9)</f>
        <v>2979.9</v>
      </c>
      <c r="X36" s="6">
        <f>IFERROR(__xludf.DUMMYFUNCTION("""COMPUTED_VALUE"""),2931.1)</f>
        <v>2931.1</v>
      </c>
      <c r="Y36" s="6">
        <f>IFERROR(__xludf.DUMMYFUNCTION("""COMPUTED_VALUE"""),2908.8)</f>
        <v>2908.8</v>
      </c>
      <c r="Z36" s="6">
        <f>IFERROR(__xludf.DUMMYFUNCTION("""COMPUTED_VALUE"""),2921.6)</f>
        <v>2921.6</v>
      </c>
      <c r="AA36" s="6">
        <f>IFERROR(__xludf.DUMMYFUNCTION("""COMPUTED_VALUE"""),2942.5)</f>
        <v>2942.5</v>
      </c>
      <c r="AB36" s="6">
        <f>IFERROR(__xludf.DUMMYFUNCTION("""COMPUTED_VALUE"""),2943.6)</f>
        <v>2943.6</v>
      </c>
      <c r="AC36" s="6">
        <f>IFERROR(__xludf.DUMMYFUNCTION("""COMPUTED_VALUE"""),2951.9)</f>
        <v>2951.9</v>
      </c>
      <c r="AD36" s="6">
        <f>IFERROR(__xludf.DUMMYFUNCTION("""COMPUTED_VALUE"""),3013.4)</f>
        <v>3013.4</v>
      </c>
      <c r="AE36" s="6">
        <f>IFERROR(__xludf.DUMMYFUNCTION("""COMPUTED_VALUE"""),3038.4)</f>
        <v>3038.4</v>
      </c>
      <c r="AF36" s="6">
        <f>IFERROR(__xludf.DUMMYFUNCTION("""COMPUTED_VALUE"""),3030.0)</f>
        <v>3030</v>
      </c>
      <c r="AG36" s="6">
        <f t="shared" ref="AG36:BF36" si="37">F36/F$2</f>
        <v>0.1145186073</v>
      </c>
      <c r="AH36" s="6">
        <f t="shared" si="37"/>
        <v>0.1148730095</v>
      </c>
      <c r="AI36" s="6">
        <f t="shared" si="37"/>
        <v>0.1137338557</v>
      </c>
      <c r="AJ36" s="6">
        <f t="shared" si="37"/>
        <v>0.1153781014</v>
      </c>
      <c r="AK36" s="6">
        <f t="shared" si="37"/>
        <v>0.1143243586</v>
      </c>
      <c r="AL36" s="6">
        <f t="shared" si="37"/>
        <v>0.1140407615</v>
      </c>
      <c r="AM36" s="6">
        <f t="shared" si="37"/>
        <v>0.1145607164</v>
      </c>
      <c r="AN36" s="6">
        <f t="shared" si="37"/>
        <v>0.1185808744</v>
      </c>
      <c r="AO36" s="6">
        <f t="shared" si="37"/>
        <v>0.1241673183</v>
      </c>
      <c r="AP36" s="6">
        <f t="shared" si="37"/>
        <v>0.1243602855</v>
      </c>
      <c r="AQ36" s="6">
        <f t="shared" si="37"/>
        <v>0.124742279</v>
      </c>
      <c r="AR36" s="6">
        <f t="shared" si="37"/>
        <v>0.1244258551</v>
      </c>
      <c r="AS36" s="6">
        <f t="shared" si="37"/>
        <v>0.1263906011</v>
      </c>
      <c r="AT36" s="6">
        <f t="shared" si="37"/>
        <v>0.1249957275</v>
      </c>
      <c r="AU36" s="6">
        <f t="shared" si="37"/>
        <v>0.1269529457</v>
      </c>
      <c r="AV36" s="6">
        <f t="shared" si="37"/>
        <v>0.1304505985</v>
      </c>
      <c r="AW36" s="6">
        <f t="shared" si="37"/>
        <v>0.1284435411</v>
      </c>
      <c r="AX36" s="6">
        <f t="shared" si="37"/>
        <v>0.1282113062</v>
      </c>
      <c r="AY36" s="6">
        <f t="shared" si="37"/>
        <v>0.1262591563</v>
      </c>
      <c r="AZ36" s="6">
        <f t="shared" si="37"/>
        <v>0.1255871788</v>
      </c>
      <c r="BA36" s="6">
        <f t="shared" si="37"/>
        <v>0.1236766019</v>
      </c>
      <c r="BB36" s="6">
        <f t="shared" si="37"/>
        <v>0.1233550908</v>
      </c>
      <c r="BC36" s="6">
        <f t="shared" si="37"/>
        <v>0.1227054731</v>
      </c>
      <c r="BD36" s="6">
        <f t="shared" si="37"/>
        <v>0.1225581984</v>
      </c>
      <c r="BE36" s="6">
        <f t="shared" si="37"/>
        <v>0.1246855346</v>
      </c>
      <c r="BF36" s="6">
        <f t="shared" si="37"/>
        <v>0.1265309352</v>
      </c>
    </row>
    <row r="37">
      <c r="A37" s="1" t="s">
        <v>38</v>
      </c>
      <c r="B37" s="6"/>
      <c r="C37" s="5">
        <f t="shared" si="11"/>
        <v>0.08</v>
      </c>
      <c r="D37" s="1" t="s">
        <v>37</v>
      </c>
      <c r="E37" s="6" t="str">
        <f>IFERROR(__xludf.DUMMYFUNCTION("GOOGLEFINANCE(D37, ""name"")
"),"Tata Motors Passenger Vhcls Ltd")</f>
        <v>Tata Motors Passenger Vhcls Ltd</v>
      </c>
      <c r="F37" s="6">
        <f>IFERROR(__xludf.DUMMYFUNCTION("{TRANSPOSE(QUERY(GOOGLEFINANCE(D37, ""close"", WORKDAY(TODAY(), -27), TODAY()-1), ""SELECT Col2 OFFSET 1"", 0)), GOOGLEFINANCE(D37, ""price"")}"),338.75)</f>
        <v>338.75</v>
      </c>
      <c r="G37" s="6">
        <f>IFERROR(__xludf.DUMMYFUNCTION("""COMPUTED_VALUE"""),356.55)</f>
        <v>356.55</v>
      </c>
      <c r="H37" s="6">
        <f>IFERROR(__xludf.DUMMYFUNCTION("""COMPUTED_VALUE"""),353.15)</f>
        <v>353.15</v>
      </c>
      <c r="I37" s="6">
        <f>IFERROR(__xludf.DUMMYFUNCTION("""COMPUTED_VALUE"""),361.2)</f>
        <v>361.2</v>
      </c>
      <c r="J37" s="6">
        <f>IFERROR(__xludf.DUMMYFUNCTION("""COMPUTED_VALUE"""),361.25)</f>
        <v>361.25</v>
      </c>
      <c r="K37" s="6">
        <f>IFERROR(__xludf.DUMMYFUNCTION("""COMPUTED_VALUE"""),361.35)</f>
        <v>361.35</v>
      </c>
      <c r="L37" s="6">
        <f>IFERROR(__xludf.DUMMYFUNCTION("""COMPUTED_VALUE"""),363.35)</f>
        <v>363.35</v>
      </c>
      <c r="M37" s="6">
        <f>IFERROR(__xludf.DUMMYFUNCTION("""COMPUTED_VALUE"""),373.25)</f>
        <v>373.25</v>
      </c>
      <c r="N37" s="6">
        <f>IFERROR(__xludf.DUMMYFUNCTION("""COMPUTED_VALUE"""),385.6)</f>
        <v>385.6</v>
      </c>
      <c r="O37" s="6">
        <f>IFERROR(__xludf.DUMMYFUNCTION("""COMPUTED_VALUE"""),400.95)</f>
        <v>400.95</v>
      </c>
      <c r="P37" s="6">
        <f>IFERROR(__xludf.DUMMYFUNCTION("""COMPUTED_VALUE"""),393.9)</f>
        <v>393.9</v>
      </c>
      <c r="Q37" s="6">
        <f>IFERROR(__xludf.DUMMYFUNCTION("""COMPUTED_VALUE"""),384.9)</f>
        <v>384.9</v>
      </c>
      <c r="R37" s="6">
        <f>IFERROR(__xludf.DUMMYFUNCTION("""COMPUTED_VALUE"""),390.2)</f>
        <v>390.2</v>
      </c>
      <c r="S37" s="6">
        <f>IFERROR(__xludf.DUMMYFUNCTION("""COMPUTED_VALUE"""),398.15)</f>
        <v>398.15</v>
      </c>
      <c r="T37" s="6">
        <f>IFERROR(__xludf.DUMMYFUNCTION("""COMPUTED_VALUE"""),399.7)</f>
        <v>399.7</v>
      </c>
      <c r="U37" s="6">
        <f>IFERROR(__xludf.DUMMYFUNCTION("""COMPUTED_VALUE"""),397.8)</f>
        <v>397.8</v>
      </c>
      <c r="V37" s="6">
        <f>IFERROR(__xludf.DUMMYFUNCTION("""COMPUTED_VALUE"""),389.0)</f>
        <v>389</v>
      </c>
      <c r="W37" s="6">
        <f>IFERROR(__xludf.DUMMYFUNCTION("""COMPUTED_VALUE"""),387.8)</f>
        <v>387.8</v>
      </c>
      <c r="X37" s="6">
        <f>IFERROR(__xludf.DUMMYFUNCTION("""COMPUTED_VALUE"""),381.0)</f>
        <v>381</v>
      </c>
      <c r="Y37" s="6">
        <f>IFERROR(__xludf.DUMMYFUNCTION("""COMPUTED_VALUE"""),375.9)</f>
        <v>375.9</v>
      </c>
      <c r="Z37" s="6">
        <f>IFERROR(__xludf.DUMMYFUNCTION("""COMPUTED_VALUE"""),390.0)</f>
        <v>390</v>
      </c>
      <c r="AA37" s="6">
        <f>IFERROR(__xludf.DUMMYFUNCTION("""COMPUTED_VALUE"""),396.4)</f>
        <v>396.4</v>
      </c>
      <c r="AB37" s="6">
        <f>IFERROR(__xludf.DUMMYFUNCTION("""COMPUTED_VALUE"""),393.6)</f>
        <v>393.6</v>
      </c>
      <c r="AC37" s="6">
        <f>IFERROR(__xludf.DUMMYFUNCTION("""COMPUTED_VALUE"""),360.95)</f>
        <v>360.95</v>
      </c>
      <c r="AD37" s="6">
        <f>IFERROR(__xludf.DUMMYFUNCTION("""COMPUTED_VALUE"""),364.65)</f>
        <v>364.65</v>
      </c>
      <c r="AE37" s="6">
        <f>IFERROR(__xludf.DUMMYFUNCTION("""COMPUTED_VALUE"""),359.5)</f>
        <v>359.5</v>
      </c>
      <c r="AF37" s="6">
        <f>IFERROR(__xludf.DUMMYFUNCTION("""COMPUTED_VALUE"""),359.4)</f>
        <v>359.4</v>
      </c>
      <c r="AG37" s="6">
        <f t="shared" ref="AG37:BF37" si="38">F37/F$2</f>
        <v>0.01429952384</v>
      </c>
      <c r="AH37" s="6">
        <f t="shared" si="38"/>
        <v>0.01508025462</v>
      </c>
      <c r="AI37" s="6">
        <f t="shared" si="38"/>
        <v>0.01493237829</v>
      </c>
      <c r="AJ37" s="6">
        <f t="shared" si="38"/>
        <v>0.01529342027</v>
      </c>
      <c r="AK37" s="6">
        <f t="shared" si="38"/>
        <v>0.01526903081</v>
      </c>
      <c r="AL37" s="6">
        <f t="shared" si="38"/>
        <v>0.01527603394</v>
      </c>
      <c r="AM37" s="6">
        <f t="shared" si="38"/>
        <v>0.01531874887</v>
      </c>
      <c r="AN37" s="6">
        <f t="shared" si="38"/>
        <v>0.01553156872</v>
      </c>
      <c r="AO37" s="6">
        <f t="shared" si="38"/>
        <v>0.01612464821</v>
      </c>
      <c r="AP37" s="6">
        <f t="shared" si="38"/>
        <v>0.01677113332</v>
      </c>
      <c r="AQ37" s="6">
        <f t="shared" si="38"/>
        <v>0.01672771284</v>
      </c>
      <c r="AR37" s="6">
        <f t="shared" si="38"/>
        <v>0.01646095815</v>
      </c>
      <c r="AS37" s="6">
        <f t="shared" si="38"/>
        <v>0.01661588644</v>
      </c>
      <c r="AT37" s="6">
        <f t="shared" si="38"/>
        <v>0.01701088628</v>
      </c>
      <c r="AU37" s="6">
        <f t="shared" si="38"/>
        <v>0.01706912419</v>
      </c>
      <c r="AV37" s="6">
        <f t="shared" si="38"/>
        <v>0.01702422678</v>
      </c>
      <c r="AW37" s="6">
        <f t="shared" si="38"/>
        <v>0.01682307659</v>
      </c>
      <c r="AX37" s="6">
        <f t="shared" si="38"/>
        <v>0.01668523929</v>
      </c>
      <c r="AY37" s="6">
        <f t="shared" si="38"/>
        <v>0.01641183806</v>
      </c>
      <c r="AZ37" s="6">
        <f t="shared" si="38"/>
        <v>0.01622944874</v>
      </c>
      <c r="BA37" s="6">
        <f t="shared" si="38"/>
        <v>0.01650940401</v>
      </c>
      <c r="BB37" s="6">
        <f t="shared" si="38"/>
        <v>0.01661782769</v>
      </c>
      <c r="BC37" s="6">
        <f t="shared" si="38"/>
        <v>0.01640741752</v>
      </c>
      <c r="BD37" s="6">
        <f t="shared" si="38"/>
        <v>0.01498607057</v>
      </c>
      <c r="BE37" s="6">
        <f t="shared" si="38"/>
        <v>0.01508813307</v>
      </c>
      <c r="BF37" s="6">
        <f t="shared" si="38"/>
        <v>0.014970995</v>
      </c>
    </row>
    <row r="38">
      <c r="A38" s="1" t="s">
        <v>39</v>
      </c>
      <c r="B38" s="6"/>
      <c r="C38" s="5">
        <f t="shared" si="11"/>
        <v>0.44</v>
      </c>
      <c r="D38" s="1" t="s">
        <v>38</v>
      </c>
      <c r="E38" s="6" t="str">
        <f>IFERROR(__xludf.DUMMYFUNCTION("GOOGLEFINANCE(D38, ""name"")
"),"Sun Pharmaceutical Industries Ltd")</f>
        <v>Sun Pharmaceutical Industries Ltd</v>
      </c>
      <c r="F38" s="6">
        <f>IFERROR(__xludf.DUMMYFUNCTION("{TRANSPOSE(QUERY(GOOGLEFINANCE(D38, ""close"", WORKDAY(TODAY(), -27), TODAY()-1), ""SELECT Col2 OFFSET 1"", 0)), GOOGLEFINANCE(D38, ""price"")}"),1863.2)</f>
        <v>1863.2</v>
      </c>
      <c r="G38" s="6">
        <f>IFERROR(__xludf.DUMMYFUNCTION("""COMPUTED_VALUE"""),1878.2)</f>
        <v>1878.2</v>
      </c>
      <c r="H38" s="6">
        <f>IFERROR(__xludf.DUMMYFUNCTION("""COMPUTED_VALUE"""),1905.8)</f>
        <v>1905.8</v>
      </c>
      <c r="I38" s="6">
        <f>IFERROR(__xludf.DUMMYFUNCTION("""COMPUTED_VALUE"""),1882.3)</f>
        <v>1882.3</v>
      </c>
      <c r="J38" s="6">
        <f>IFERROR(__xludf.DUMMYFUNCTION("""COMPUTED_VALUE"""),1880.3)</f>
        <v>1880.3</v>
      </c>
      <c r="K38" s="6">
        <f>IFERROR(__xludf.DUMMYFUNCTION("""COMPUTED_VALUE"""),1891.3)</f>
        <v>1891.3</v>
      </c>
      <c r="L38" s="6">
        <f>IFERROR(__xludf.DUMMYFUNCTION("""COMPUTED_VALUE"""),1844.6)</f>
        <v>1844.6</v>
      </c>
      <c r="M38" s="6">
        <f>IFERROR(__xludf.DUMMYFUNCTION("""COMPUTED_VALUE"""),1840.6)</f>
        <v>1840.6</v>
      </c>
      <c r="N38" s="6">
        <f>IFERROR(__xludf.DUMMYFUNCTION("""COMPUTED_VALUE"""),1840.8)</f>
        <v>1840.8</v>
      </c>
      <c r="O38" s="6">
        <f>IFERROR(__xludf.DUMMYFUNCTION("""COMPUTED_VALUE"""),1844.3)</f>
        <v>1844.3</v>
      </c>
      <c r="P38" s="6">
        <f>IFERROR(__xludf.DUMMYFUNCTION("""COMPUTED_VALUE"""),1799.2)</f>
        <v>1799.2</v>
      </c>
      <c r="Q38" s="6">
        <f>IFERROR(__xludf.DUMMYFUNCTION("""COMPUTED_VALUE"""),1796.5)</f>
        <v>1796.5</v>
      </c>
      <c r="R38" s="6">
        <f>IFERROR(__xludf.DUMMYFUNCTION("""COMPUTED_VALUE"""),1789.9)</f>
        <v>1789.9</v>
      </c>
      <c r="S38" s="6">
        <f>IFERROR(__xludf.DUMMYFUNCTION("""COMPUTED_VALUE"""),1788.5)</f>
        <v>1788.5</v>
      </c>
      <c r="T38" s="6">
        <f>IFERROR(__xludf.DUMMYFUNCTION("""COMPUTED_VALUE"""),1780.1)</f>
        <v>1780.1</v>
      </c>
      <c r="U38" s="6">
        <f>IFERROR(__xludf.DUMMYFUNCTION("""COMPUTED_VALUE"""),1782.2)</f>
        <v>1782.2</v>
      </c>
      <c r="V38" s="6">
        <f>IFERROR(__xludf.DUMMYFUNCTION("""COMPUTED_VALUE"""),1788.8)</f>
        <v>1788.8</v>
      </c>
      <c r="W38" s="6">
        <f>IFERROR(__xludf.DUMMYFUNCTION("""COMPUTED_VALUE"""),1779.0)</f>
        <v>1779</v>
      </c>
      <c r="X38" s="6">
        <f>IFERROR(__xludf.DUMMYFUNCTION("""COMPUTED_VALUE"""),1786.4)</f>
        <v>1786.4</v>
      </c>
      <c r="Y38" s="6">
        <f>IFERROR(__xludf.DUMMYFUNCTION("""COMPUTED_VALUE"""),1794.2)</f>
        <v>1794.2</v>
      </c>
      <c r="Z38" s="6">
        <f>IFERROR(__xludf.DUMMYFUNCTION("""COMPUTED_VALUE"""),1807.7)</f>
        <v>1807.7</v>
      </c>
      <c r="AA38" s="6">
        <f>IFERROR(__xludf.DUMMYFUNCTION("""COMPUTED_VALUE"""),1806.0)</f>
        <v>1806</v>
      </c>
      <c r="AB38" s="6">
        <f>IFERROR(__xludf.DUMMYFUNCTION("""COMPUTED_VALUE"""),1800.7)</f>
        <v>1800.7</v>
      </c>
      <c r="AC38" s="6">
        <f>IFERROR(__xludf.DUMMYFUNCTION("""COMPUTED_VALUE"""),1820.4)</f>
        <v>1820.4</v>
      </c>
      <c r="AD38" s="6">
        <f>IFERROR(__xludf.DUMMYFUNCTION("""COMPUTED_VALUE"""),1824.8)</f>
        <v>1824.8</v>
      </c>
      <c r="AE38" s="6">
        <f>IFERROR(__xludf.DUMMYFUNCTION("""COMPUTED_VALUE"""),1838.3)</f>
        <v>1838.3</v>
      </c>
      <c r="AF38" s="6">
        <f>IFERROR(__xludf.DUMMYFUNCTION("""COMPUTED_VALUE"""),1840.4)</f>
        <v>1840.4</v>
      </c>
      <c r="AG38" s="6">
        <f t="shared" ref="AG38:BF38" si="39">F38/F$2</f>
        <v>0.07865054708</v>
      </c>
      <c r="AH38" s="6">
        <f t="shared" si="39"/>
        <v>0.07943832343</v>
      </c>
      <c r="AI38" s="6">
        <f t="shared" si="39"/>
        <v>0.08058367988</v>
      </c>
      <c r="AJ38" s="6">
        <f t="shared" si="39"/>
        <v>0.0796976882</v>
      </c>
      <c r="AK38" s="6">
        <f t="shared" si="39"/>
        <v>0.07947504121</v>
      </c>
      <c r="AL38" s="6">
        <f t="shared" si="39"/>
        <v>0.07995451221</v>
      </c>
      <c r="AM38" s="6">
        <f t="shared" si="39"/>
        <v>0.07776789366</v>
      </c>
      <c r="AN38" s="6">
        <f t="shared" si="39"/>
        <v>0.07659050338</v>
      </c>
      <c r="AO38" s="6">
        <f t="shared" si="39"/>
        <v>0.07697679573</v>
      </c>
      <c r="AP38" s="6">
        <f t="shared" si="39"/>
        <v>0.07714428529</v>
      </c>
      <c r="AQ38" s="6">
        <f t="shared" si="39"/>
        <v>0.07640645072</v>
      </c>
      <c r="AR38" s="6">
        <f t="shared" si="39"/>
        <v>0.07683063475</v>
      </c>
      <c r="AS38" s="6">
        <f t="shared" si="39"/>
        <v>0.07621931096</v>
      </c>
      <c r="AT38" s="6">
        <f t="shared" si="39"/>
        <v>0.07641333698</v>
      </c>
      <c r="AU38" s="6">
        <f t="shared" si="39"/>
        <v>0.07601888408</v>
      </c>
      <c r="AV38" s="6">
        <f t="shared" si="39"/>
        <v>0.07627093257</v>
      </c>
      <c r="AW38" s="6">
        <f t="shared" si="39"/>
        <v>0.07736020413</v>
      </c>
      <c r="AX38" s="6">
        <f t="shared" si="39"/>
        <v>0.0765421369</v>
      </c>
      <c r="AY38" s="6">
        <f t="shared" si="39"/>
        <v>0.07695041342</v>
      </c>
      <c r="AZ38" s="6">
        <f t="shared" si="39"/>
        <v>0.07746442387</v>
      </c>
      <c r="BA38" s="6">
        <f t="shared" si="39"/>
        <v>0.07652320418</v>
      </c>
      <c r="BB38" s="6">
        <f t="shared" si="39"/>
        <v>0.07571089004</v>
      </c>
      <c r="BC38" s="6">
        <f t="shared" si="39"/>
        <v>0.07506310144</v>
      </c>
      <c r="BD38" s="6">
        <f t="shared" si="39"/>
        <v>0.075580116</v>
      </c>
      <c r="BE38" s="6">
        <f t="shared" si="39"/>
        <v>0.07550479974</v>
      </c>
      <c r="BF38" s="6">
        <f t="shared" si="39"/>
        <v>0.07655404758</v>
      </c>
    </row>
    <row r="39">
      <c r="B39" s="6"/>
      <c r="C39" s="5">
        <f t="shared" si="11"/>
        <v>0.12</v>
      </c>
      <c r="D39" s="1" t="s">
        <v>39</v>
      </c>
      <c r="E39" s="6" t="str">
        <f>IFERROR(__xludf.DUMMYFUNCTION("GOOGLEFINANCE(D39, ""name"")
"),"Coal India Ltd")</f>
        <v>Coal India Ltd</v>
      </c>
      <c r="F39" s="6">
        <f>IFERROR(__xludf.DUMMYFUNCTION("{TRANSPOSE(QUERY(GOOGLEFINANCE(D39, ""close"", WORKDAY(TODAY(), -27), TODAY()-1), ""SELECT Col2 OFFSET 1"", 0)), GOOGLEFINANCE(D39, ""price"")}"),454.05)</f>
        <v>454.05</v>
      </c>
      <c r="G39" s="6">
        <f>IFERROR(__xludf.DUMMYFUNCTION("""COMPUTED_VALUE"""),462.2)</f>
        <v>462.2</v>
      </c>
      <c r="H39" s="6">
        <f>IFERROR(__xludf.DUMMYFUNCTION("""COMPUTED_VALUE"""),462.1)</f>
        <v>462.1</v>
      </c>
      <c r="I39" s="6">
        <f>IFERROR(__xludf.DUMMYFUNCTION("""COMPUTED_VALUE"""),456.95)</f>
        <v>456.95</v>
      </c>
      <c r="J39" s="6">
        <f>IFERROR(__xludf.DUMMYFUNCTION("""COMPUTED_VALUE"""),458.7)</f>
        <v>458.7</v>
      </c>
      <c r="K39" s="6">
        <f>IFERROR(__xludf.DUMMYFUNCTION("""COMPUTED_VALUE"""),460.2)</f>
        <v>460.2</v>
      </c>
      <c r="L39" s="6">
        <f>IFERROR(__xludf.DUMMYFUNCTION("""COMPUTED_VALUE"""),456.55)</f>
        <v>456.55</v>
      </c>
      <c r="M39" s="6">
        <f>IFERROR(__xludf.DUMMYFUNCTION("""COMPUTED_VALUE"""),458.0)</f>
        <v>458</v>
      </c>
      <c r="N39" s="6">
        <f>IFERROR(__xludf.DUMMYFUNCTION("""COMPUTED_VALUE"""),458.15)</f>
        <v>458.15</v>
      </c>
      <c r="O39" s="6">
        <f>IFERROR(__xludf.DUMMYFUNCTION("""COMPUTED_VALUE"""),463.05)</f>
        <v>463.05</v>
      </c>
      <c r="P39" s="6">
        <f>IFERROR(__xludf.DUMMYFUNCTION("""COMPUTED_VALUE"""),457.9)</f>
        <v>457.9</v>
      </c>
      <c r="Q39" s="6">
        <f>IFERROR(__xludf.DUMMYFUNCTION("""COMPUTED_VALUE"""),472.6)</f>
        <v>472.6</v>
      </c>
      <c r="R39" s="6">
        <f>IFERROR(__xludf.DUMMYFUNCTION("""COMPUTED_VALUE"""),472.15)</f>
        <v>472.15</v>
      </c>
      <c r="S39" s="6">
        <f>IFERROR(__xludf.DUMMYFUNCTION("""COMPUTED_VALUE"""),472.3)</f>
        <v>472.3</v>
      </c>
      <c r="T39" s="6">
        <f>IFERROR(__xludf.DUMMYFUNCTION("""COMPUTED_VALUE"""),481.65)</f>
        <v>481.65</v>
      </c>
      <c r="U39" s="6">
        <f>IFERROR(__xludf.DUMMYFUNCTION("""COMPUTED_VALUE"""),472.3)</f>
        <v>472.3</v>
      </c>
      <c r="V39" s="6">
        <f>IFERROR(__xludf.DUMMYFUNCTION("""COMPUTED_VALUE"""),464.9)</f>
        <v>464.9</v>
      </c>
      <c r="W39" s="6">
        <f>IFERROR(__xludf.DUMMYFUNCTION("""COMPUTED_VALUE"""),466.9)</f>
        <v>466.9</v>
      </c>
      <c r="X39" s="6">
        <f>IFERROR(__xludf.DUMMYFUNCTION("""COMPUTED_VALUE"""),451.0)</f>
        <v>451</v>
      </c>
      <c r="Y39" s="6">
        <f>IFERROR(__xludf.DUMMYFUNCTION("""COMPUTED_VALUE"""),446.2)</f>
        <v>446.2</v>
      </c>
      <c r="Z39" s="6">
        <f>IFERROR(__xludf.DUMMYFUNCTION("""COMPUTED_VALUE"""),443.5)</f>
        <v>443.5</v>
      </c>
      <c r="AA39" s="6">
        <f>IFERROR(__xludf.DUMMYFUNCTION("""COMPUTED_VALUE"""),444.05)</f>
        <v>444.05</v>
      </c>
      <c r="AB39" s="6">
        <f>IFERROR(__xludf.DUMMYFUNCTION("""COMPUTED_VALUE"""),450.95)</f>
        <v>450.95</v>
      </c>
      <c r="AC39" s="6">
        <f>IFERROR(__xludf.DUMMYFUNCTION("""COMPUTED_VALUE"""),455.75)</f>
        <v>455.75</v>
      </c>
      <c r="AD39" s="6">
        <f>IFERROR(__xludf.DUMMYFUNCTION("""COMPUTED_VALUE"""),452.0)</f>
        <v>452</v>
      </c>
      <c r="AE39" s="6">
        <f>IFERROR(__xludf.DUMMYFUNCTION("""COMPUTED_VALUE"""),451.3)</f>
        <v>451.3</v>
      </c>
      <c r="AF39" s="6">
        <f>IFERROR(__xludf.DUMMYFUNCTION("""COMPUTED_VALUE"""),452.05)</f>
        <v>452.05</v>
      </c>
      <c r="AG39" s="6">
        <f t="shared" ref="AG39:BF39" si="40">F39/F$2</f>
        <v>0.01916663852</v>
      </c>
      <c r="AH39" s="6">
        <f t="shared" si="40"/>
        <v>0.01954871318</v>
      </c>
      <c r="AI39" s="6">
        <f t="shared" si="40"/>
        <v>0.01953915336</v>
      </c>
      <c r="AJ39" s="6">
        <f t="shared" si="40"/>
        <v>0.01934753154</v>
      </c>
      <c r="AK39" s="6">
        <f t="shared" si="40"/>
        <v>0.01938797075</v>
      </c>
      <c r="AL39" s="6">
        <f t="shared" si="40"/>
        <v>0.01945490748</v>
      </c>
      <c r="AM39" s="6">
        <f t="shared" si="40"/>
        <v>0.01924803852</v>
      </c>
      <c r="AN39" s="6">
        <f t="shared" si="40"/>
        <v>0.01905816068</v>
      </c>
      <c r="AO39" s="6">
        <f t="shared" si="40"/>
        <v>0.01915847401</v>
      </c>
      <c r="AP39" s="6">
        <f t="shared" si="40"/>
        <v>0.01936868259</v>
      </c>
      <c r="AQ39" s="6">
        <f t="shared" si="40"/>
        <v>0.01944559459</v>
      </c>
      <c r="AR39" s="6">
        <f t="shared" si="40"/>
        <v>0.02021161034</v>
      </c>
      <c r="AS39" s="6">
        <f t="shared" si="40"/>
        <v>0.02010556326</v>
      </c>
      <c r="AT39" s="6">
        <f t="shared" si="40"/>
        <v>0.02017893154</v>
      </c>
      <c r="AU39" s="6">
        <f t="shared" si="40"/>
        <v>0.02056878575</v>
      </c>
      <c r="AV39" s="6">
        <f t="shared" si="40"/>
        <v>0.02021252466</v>
      </c>
      <c r="AW39" s="6">
        <f t="shared" si="40"/>
        <v>0.02010552264</v>
      </c>
      <c r="AX39" s="6">
        <f t="shared" si="40"/>
        <v>0.02008854622</v>
      </c>
      <c r="AY39" s="6">
        <f t="shared" si="40"/>
        <v>0.01942713639</v>
      </c>
      <c r="AZ39" s="6">
        <f t="shared" si="40"/>
        <v>0.01926464493</v>
      </c>
      <c r="BA39" s="6">
        <f t="shared" si="40"/>
        <v>0.01877415559</v>
      </c>
      <c r="BB39" s="6">
        <f t="shared" si="40"/>
        <v>0.01861540461</v>
      </c>
      <c r="BC39" s="6">
        <f t="shared" si="40"/>
        <v>0.01879808163</v>
      </c>
      <c r="BD39" s="6">
        <f t="shared" si="40"/>
        <v>0.01892201597</v>
      </c>
      <c r="BE39" s="6">
        <f t="shared" si="40"/>
        <v>0.01870241642</v>
      </c>
      <c r="BF39" s="6">
        <f t="shared" si="40"/>
        <v>0.01879390833</v>
      </c>
    </row>
    <row r="40">
      <c r="C40" s="5"/>
    </row>
    <row r="41">
      <c r="C41" s="5"/>
    </row>
    <row r="42">
      <c r="C42" s="5"/>
    </row>
    <row r="43">
      <c r="C43" s="5"/>
    </row>
    <row r="44">
      <c r="C44" s="5"/>
    </row>
    <row r="45">
      <c r="C45" s="5"/>
    </row>
    <row r="46">
      <c r="C46" s="5"/>
    </row>
    <row r="47">
      <c r="C47" s="5"/>
    </row>
    <row r="48">
      <c r="C48" s="5"/>
    </row>
    <row r="49">
      <c r="C49" s="5"/>
    </row>
    <row r="50">
      <c r="C50" s="5"/>
    </row>
    <row r="51">
      <c r="C51" s="5"/>
    </row>
    <row r="52">
      <c r="C52" s="5"/>
    </row>
    <row r="53">
      <c r="C53" s="5"/>
    </row>
    <row r="54">
      <c r="C54" s="5"/>
    </row>
    <row r="55">
      <c r="C55" s="5"/>
    </row>
    <row r="56">
      <c r="C56" s="5"/>
    </row>
    <row r="57">
      <c r="C57" s="5"/>
    </row>
    <row r="58">
      <c r="C58" s="5"/>
    </row>
    <row r="59">
      <c r="C59" s="5"/>
    </row>
    <row r="60">
      <c r="C60" s="5"/>
    </row>
    <row r="61">
      <c r="C61" s="5"/>
    </row>
    <row r="62">
      <c r="C62" s="5"/>
    </row>
    <row r="63">
      <c r="C63" s="5"/>
    </row>
    <row r="64">
      <c r="C64" s="5"/>
    </row>
    <row r="65">
      <c r="C65" s="5"/>
    </row>
    <row r="66">
      <c r="C66" s="5"/>
    </row>
    <row r="67">
      <c r="C67" s="5"/>
    </row>
    <row r="68">
      <c r="C68" s="5"/>
    </row>
    <row r="69">
      <c r="C69" s="5"/>
    </row>
    <row r="70">
      <c r="C70" s="5"/>
    </row>
    <row r="71">
      <c r="C71" s="5"/>
    </row>
    <row r="72">
      <c r="C72" s="5"/>
    </row>
    <row r="73">
      <c r="C73" s="5"/>
    </row>
    <row r="74">
      <c r="C74" s="5"/>
    </row>
    <row r="75">
      <c r="C75" s="5"/>
    </row>
    <row r="76">
      <c r="C76" s="5"/>
    </row>
    <row r="77">
      <c r="C77" s="5"/>
    </row>
    <row r="78">
      <c r="C78" s="5"/>
    </row>
    <row r="79">
      <c r="C79" s="5"/>
    </row>
    <row r="80">
      <c r="C80" s="5"/>
    </row>
    <row r="81">
      <c r="C81" s="5"/>
    </row>
    <row r="82">
      <c r="C82" s="5"/>
    </row>
    <row r="83">
      <c r="C83" s="5"/>
    </row>
    <row r="84">
      <c r="C84" s="5"/>
    </row>
    <row r="85">
      <c r="C85" s="5"/>
    </row>
    <row r="86">
      <c r="C86" s="5"/>
    </row>
    <row r="87">
      <c r="C87" s="5"/>
    </row>
    <row r="88">
      <c r="C88" s="5"/>
    </row>
    <row r="89">
      <c r="C89" s="5"/>
    </row>
    <row r="90">
      <c r="C90" s="5"/>
    </row>
    <row r="91">
      <c r="C91" s="5"/>
    </row>
    <row r="92">
      <c r="C92" s="5"/>
    </row>
    <row r="93">
      <c r="C93" s="5"/>
    </row>
    <row r="94">
      <c r="C94" s="5"/>
    </row>
    <row r="95">
      <c r="C95" s="5"/>
    </row>
    <row r="96">
      <c r="C96" s="5"/>
    </row>
    <row r="97">
      <c r="C97" s="5"/>
    </row>
    <row r="98">
      <c r="C98" s="5"/>
    </row>
    <row r="99">
      <c r="C99" s="5"/>
    </row>
    <row r="100">
      <c r="C100" s="5"/>
    </row>
    <row r="101">
      <c r="C101" s="5"/>
    </row>
    <row r="102">
      <c r="C102" s="5"/>
    </row>
    <row r="103">
      <c r="C103" s="5"/>
    </row>
    <row r="104">
      <c r="C104" s="5"/>
    </row>
    <row r="105">
      <c r="C105" s="5"/>
    </row>
    <row r="106">
      <c r="C106" s="5"/>
    </row>
    <row r="107">
      <c r="C107" s="5"/>
    </row>
    <row r="108">
      <c r="C108" s="5"/>
    </row>
    <row r="109">
      <c r="C109" s="5"/>
    </row>
    <row r="110">
      <c r="C110" s="5"/>
    </row>
    <row r="111">
      <c r="C111" s="5"/>
    </row>
    <row r="112">
      <c r="C112" s="5"/>
    </row>
    <row r="113">
      <c r="C113" s="5"/>
    </row>
    <row r="114">
      <c r="C114" s="5"/>
    </row>
    <row r="115">
      <c r="C115" s="5"/>
    </row>
    <row r="116">
      <c r="C116" s="5"/>
    </row>
    <row r="117">
      <c r="C117" s="5"/>
    </row>
    <row r="118">
      <c r="C118" s="5"/>
    </row>
    <row r="119">
      <c r="C119" s="5"/>
    </row>
    <row r="120">
      <c r="C120" s="5"/>
    </row>
    <row r="121">
      <c r="C121" s="5"/>
    </row>
    <row r="122">
      <c r="C122" s="5"/>
    </row>
    <row r="123">
      <c r="C123" s="5"/>
    </row>
    <row r="124">
      <c r="C124" s="5"/>
    </row>
    <row r="125">
      <c r="C125" s="5"/>
    </row>
    <row r="126">
      <c r="C126" s="5"/>
    </row>
    <row r="127">
      <c r="C127" s="5"/>
    </row>
    <row r="128">
      <c r="C128" s="5"/>
    </row>
    <row r="129">
      <c r="C129" s="5"/>
    </row>
    <row r="130">
      <c r="C130" s="5"/>
    </row>
    <row r="131">
      <c r="C131" s="5"/>
    </row>
    <row r="132">
      <c r="C132" s="5"/>
    </row>
    <row r="133">
      <c r="C133" s="5"/>
    </row>
    <row r="134">
      <c r="C134" s="5"/>
    </row>
    <row r="135">
      <c r="C135" s="5"/>
    </row>
    <row r="136">
      <c r="C136" s="5"/>
    </row>
    <row r="137">
      <c r="C137" s="5"/>
    </row>
    <row r="138">
      <c r="C138" s="5"/>
    </row>
    <row r="139">
      <c r="C139" s="5"/>
    </row>
    <row r="140">
      <c r="C140" s="5"/>
    </row>
    <row r="141">
      <c r="C141" s="5"/>
    </row>
    <row r="142">
      <c r="C142" s="5"/>
    </row>
    <row r="143">
      <c r="C143" s="5"/>
    </row>
    <row r="144">
      <c r="C144" s="5"/>
    </row>
    <row r="145">
      <c r="C145" s="5"/>
    </row>
    <row r="146">
      <c r="C146" s="5"/>
    </row>
    <row r="147">
      <c r="C147" s="5"/>
    </row>
    <row r="148">
      <c r="C148" s="5"/>
    </row>
    <row r="149">
      <c r="C149" s="5"/>
    </row>
    <row r="150">
      <c r="C150" s="5"/>
    </row>
    <row r="151">
      <c r="C151" s="5"/>
    </row>
    <row r="152">
      <c r="C152" s="5"/>
    </row>
    <row r="153">
      <c r="C153" s="5"/>
    </row>
    <row r="154">
      <c r="C154" s="5"/>
    </row>
    <row r="155">
      <c r="C155" s="5"/>
    </row>
    <row r="156">
      <c r="C156" s="5"/>
    </row>
    <row r="157">
      <c r="C157" s="5"/>
    </row>
    <row r="158">
      <c r="C158" s="5"/>
    </row>
    <row r="159">
      <c r="C159" s="5"/>
    </row>
    <row r="160">
      <c r="C160" s="5"/>
    </row>
    <row r="161">
      <c r="C161" s="5"/>
    </row>
    <row r="162">
      <c r="C162" s="5"/>
    </row>
    <row r="163">
      <c r="C163" s="5"/>
    </row>
    <row r="164">
      <c r="C164" s="5"/>
    </row>
    <row r="165">
      <c r="C165" s="5"/>
    </row>
    <row r="166">
      <c r="C166" s="5"/>
    </row>
    <row r="167">
      <c r="C167" s="5"/>
    </row>
    <row r="168">
      <c r="C168" s="5"/>
    </row>
    <row r="169">
      <c r="C169" s="5"/>
    </row>
    <row r="170">
      <c r="C170" s="5"/>
    </row>
    <row r="171">
      <c r="C171" s="5"/>
    </row>
    <row r="172">
      <c r="C172" s="5"/>
    </row>
    <row r="173">
      <c r="C173" s="5"/>
    </row>
    <row r="174">
      <c r="C174" s="5"/>
    </row>
    <row r="175">
      <c r="C175" s="5"/>
    </row>
    <row r="176">
      <c r="C176" s="5"/>
    </row>
    <row r="177">
      <c r="C177" s="5"/>
    </row>
    <row r="178">
      <c r="C178" s="5"/>
    </row>
    <row r="179">
      <c r="C179" s="5"/>
    </row>
    <row r="180">
      <c r="C180" s="5"/>
    </row>
    <row r="181">
      <c r="C181" s="5"/>
    </row>
    <row r="182">
      <c r="C182" s="5"/>
    </row>
    <row r="183">
      <c r="C183" s="5"/>
    </row>
    <row r="184">
      <c r="C184" s="5"/>
    </row>
    <row r="185">
      <c r="C185" s="5"/>
    </row>
    <row r="186">
      <c r="C186" s="5"/>
    </row>
    <row r="187">
      <c r="C187" s="5"/>
    </row>
    <row r="188">
      <c r="C188" s="5"/>
    </row>
    <row r="189">
      <c r="C189" s="5"/>
    </row>
    <row r="190">
      <c r="C190" s="5"/>
    </row>
    <row r="191">
      <c r="C191" s="5"/>
    </row>
    <row r="192">
      <c r="C192" s="5"/>
    </row>
    <row r="193">
      <c r="C193" s="5"/>
    </row>
    <row r="194">
      <c r="C194" s="5"/>
    </row>
    <row r="195">
      <c r="C195" s="5"/>
    </row>
    <row r="196">
      <c r="C196" s="5"/>
    </row>
    <row r="197">
      <c r="C197" s="5"/>
    </row>
    <row r="198">
      <c r="C198" s="5"/>
    </row>
    <row r="199">
      <c r="C199" s="5"/>
    </row>
    <row r="200">
      <c r="C200" s="5"/>
    </row>
    <row r="201">
      <c r="C201" s="5"/>
    </row>
    <row r="202">
      <c r="C202" s="5"/>
    </row>
    <row r="203">
      <c r="C203" s="5"/>
    </row>
    <row r="204">
      <c r="C204" s="5"/>
    </row>
    <row r="205">
      <c r="C205" s="5"/>
    </row>
    <row r="206">
      <c r="C206" s="5"/>
    </row>
    <row r="207">
      <c r="C207" s="5"/>
    </row>
    <row r="208">
      <c r="C208" s="5"/>
    </row>
    <row r="209">
      <c r="C209" s="5"/>
    </row>
    <row r="210">
      <c r="C210" s="5"/>
    </row>
    <row r="211">
      <c r="C211" s="5"/>
    </row>
    <row r="212">
      <c r="C212" s="5"/>
    </row>
    <row r="213">
      <c r="C213" s="5"/>
    </row>
    <row r="214">
      <c r="C214" s="5"/>
    </row>
    <row r="215">
      <c r="C215" s="5"/>
    </row>
    <row r="216">
      <c r="C216" s="5"/>
    </row>
    <row r="217">
      <c r="C217" s="5"/>
    </row>
    <row r="218">
      <c r="C218" s="5"/>
    </row>
    <row r="219">
      <c r="C219" s="5"/>
    </row>
    <row r="220">
      <c r="C220" s="5"/>
    </row>
    <row r="221">
      <c r="C221" s="5"/>
    </row>
    <row r="222">
      <c r="C222" s="5"/>
    </row>
    <row r="223">
      <c r="C223" s="5"/>
    </row>
    <row r="224">
      <c r="C224" s="5"/>
    </row>
    <row r="225">
      <c r="C225" s="5"/>
    </row>
    <row r="226">
      <c r="C226" s="5"/>
    </row>
    <row r="227">
      <c r="C227" s="5"/>
    </row>
    <row r="228">
      <c r="C228" s="5"/>
    </row>
    <row r="229">
      <c r="C229" s="5"/>
    </row>
    <row r="230">
      <c r="C230" s="5"/>
    </row>
    <row r="231">
      <c r="C231" s="5"/>
    </row>
    <row r="232">
      <c r="C232" s="5"/>
    </row>
    <row r="233">
      <c r="C233" s="5"/>
    </row>
    <row r="234">
      <c r="C234" s="5"/>
    </row>
    <row r="235">
      <c r="C235" s="5"/>
    </row>
    <row r="236">
      <c r="C236" s="5"/>
    </row>
    <row r="237">
      <c r="C237" s="5"/>
    </row>
    <row r="238">
      <c r="C238" s="5"/>
    </row>
    <row r="239">
      <c r="C239" s="5"/>
    </row>
    <row r="240">
      <c r="C240" s="5"/>
    </row>
    <row r="241">
      <c r="C241" s="5"/>
    </row>
    <row r="242">
      <c r="C242" s="5"/>
    </row>
    <row r="243">
      <c r="C243" s="5"/>
    </row>
    <row r="244">
      <c r="C244" s="5"/>
    </row>
    <row r="245">
      <c r="C245" s="5"/>
    </row>
    <row r="246">
      <c r="C246" s="5"/>
    </row>
    <row r="247">
      <c r="C247" s="5"/>
    </row>
    <row r="248">
      <c r="C248" s="5"/>
    </row>
    <row r="249">
      <c r="C249" s="5"/>
    </row>
    <row r="250">
      <c r="C250" s="5"/>
    </row>
    <row r="251">
      <c r="C251" s="5"/>
    </row>
    <row r="252">
      <c r="C252" s="5"/>
    </row>
    <row r="253">
      <c r="C253" s="5"/>
    </row>
    <row r="254">
      <c r="C254" s="5"/>
    </row>
    <row r="255">
      <c r="C255" s="5"/>
    </row>
    <row r="256">
      <c r="C256" s="5"/>
    </row>
    <row r="257">
      <c r="C257" s="5"/>
    </row>
    <row r="258">
      <c r="C258" s="5"/>
    </row>
    <row r="259">
      <c r="C259" s="5"/>
    </row>
    <row r="260">
      <c r="C260" s="5"/>
    </row>
    <row r="261">
      <c r="C261" s="5"/>
    </row>
    <row r="262">
      <c r="C262" s="5"/>
    </row>
    <row r="263">
      <c r="C263" s="5"/>
    </row>
    <row r="264">
      <c r="C264" s="5"/>
    </row>
    <row r="265">
      <c r="C265" s="5"/>
    </row>
    <row r="266">
      <c r="C266" s="5"/>
    </row>
    <row r="267">
      <c r="C267" s="5"/>
    </row>
    <row r="268">
      <c r="C268" s="5"/>
    </row>
    <row r="269">
      <c r="C269" s="5"/>
    </row>
    <row r="270">
      <c r="C270" s="5"/>
    </row>
    <row r="271">
      <c r="C271" s="5"/>
    </row>
    <row r="272">
      <c r="C272" s="5"/>
    </row>
    <row r="273">
      <c r="C273" s="5"/>
    </row>
    <row r="274">
      <c r="C274" s="5"/>
    </row>
    <row r="275">
      <c r="C275" s="5"/>
    </row>
    <row r="276">
      <c r="C276" s="5"/>
    </row>
    <row r="277">
      <c r="C277" s="5"/>
    </row>
    <row r="278">
      <c r="C278" s="5"/>
    </row>
    <row r="279">
      <c r="C279" s="5"/>
    </row>
    <row r="280">
      <c r="C280" s="5"/>
    </row>
    <row r="281">
      <c r="C281" s="5"/>
    </row>
    <row r="282">
      <c r="C282" s="5"/>
    </row>
    <row r="283">
      <c r="C283" s="5"/>
    </row>
    <row r="284">
      <c r="C284" s="5"/>
    </row>
    <row r="285">
      <c r="C285" s="5"/>
    </row>
    <row r="286">
      <c r="C286" s="5"/>
    </row>
    <row r="287">
      <c r="C287" s="5"/>
    </row>
    <row r="288">
      <c r="C288" s="5"/>
    </row>
    <row r="289">
      <c r="C289" s="5"/>
    </row>
    <row r="290">
      <c r="C290" s="5"/>
    </row>
    <row r="291">
      <c r="C291" s="5"/>
    </row>
    <row r="292">
      <c r="C292" s="5"/>
    </row>
    <row r="293">
      <c r="C293" s="5"/>
    </row>
    <row r="294">
      <c r="C294" s="5"/>
    </row>
    <row r="295">
      <c r="C295" s="5"/>
    </row>
    <row r="296">
      <c r="C296" s="5"/>
    </row>
    <row r="297">
      <c r="C297" s="5"/>
    </row>
    <row r="298">
      <c r="C298" s="5"/>
    </row>
    <row r="299">
      <c r="C299" s="5"/>
    </row>
    <row r="300">
      <c r="C300" s="5"/>
    </row>
    <row r="301">
      <c r="C301" s="5"/>
    </row>
    <row r="302">
      <c r="C302" s="5"/>
    </row>
    <row r="303">
      <c r="C303" s="5"/>
    </row>
    <row r="304">
      <c r="C304" s="5"/>
    </row>
    <row r="305">
      <c r="C305" s="5"/>
    </row>
    <row r="306">
      <c r="C306" s="5"/>
    </row>
    <row r="307">
      <c r="C307" s="5"/>
    </row>
    <row r="308">
      <c r="C308" s="5"/>
    </row>
    <row r="309">
      <c r="C309" s="5"/>
    </row>
    <row r="310">
      <c r="C310" s="5"/>
    </row>
    <row r="311">
      <c r="C311" s="5"/>
    </row>
    <row r="312">
      <c r="C312" s="5"/>
    </row>
    <row r="313">
      <c r="C313" s="5"/>
    </row>
    <row r="314">
      <c r="C314" s="5"/>
    </row>
    <row r="315">
      <c r="C315" s="5"/>
    </row>
    <row r="316">
      <c r="C316" s="5"/>
    </row>
    <row r="317">
      <c r="C317" s="5"/>
    </row>
    <row r="318">
      <c r="C318" s="5"/>
    </row>
    <row r="319">
      <c r="C319" s="5"/>
    </row>
    <row r="320">
      <c r="C320" s="5"/>
    </row>
    <row r="321">
      <c r="C321" s="5"/>
    </row>
    <row r="322">
      <c r="C322" s="5"/>
    </row>
    <row r="323">
      <c r="C323" s="5"/>
    </row>
    <row r="324">
      <c r="C324" s="5"/>
    </row>
    <row r="325">
      <c r="C325" s="5"/>
    </row>
    <row r="326">
      <c r="C326" s="5"/>
    </row>
    <row r="327">
      <c r="C327" s="5"/>
    </row>
    <row r="328">
      <c r="C328" s="5"/>
    </row>
    <row r="329">
      <c r="C329" s="5"/>
    </row>
    <row r="330">
      <c r="C330" s="5"/>
    </row>
    <row r="331">
      <c r="C331" s="5"/>
    </row>
    <row r="332">
      <c r="C332" s="5"/>
    </row>
    <row r="333">
      <c r="C333" s="5"/>
    </row>
    <row r="334">
      <c r="C334" s="5"/>
    </row>
    <row r="335">
      <c r="C335" s="5"/>
    </row>
    <row r="336">
      <c r="C336" s="5"/>
    </row>
    <row r="337">
      <c r="C337" s="5"/>
    </row>
    <row r="338">
      <c r="C338" s="5"/>
    </row>
    <row r="339">
      <c r="C339" s="5"/>
    </row>
    <row r="340">
      <c r="C340" s="5"/>
    </row>
    <row r="341">
      <c r="C341" s="5"/>
    </row>
    <row r="342">
      <c r="C342" s="5"/>
    </row>
    <row r="343">
      <c r="C343" s="5"/>
    </row>
    <row r="344">
      <c r="C344" s="5"/>
    </row>
    <row r="345">
      <c r="C345" s="5"/>
    </row>
    <row r="346">
      <c r="C346" s="5"/>
    </row>
    <row r="347">
      <c r="C347" s="5"/>
    </row>
    <row r="348">
      <c r="C348" s="5"/>
    </row>
    <row r="349">
      <c r="C349" s="5"/>
    </row>
    <row r="350">
      <c r="C350" s="5"/>
    </row>
    <row r="351">
      <c r="C351" s="5"/>
    </row>
    <row r="352">
      <c r="C352" s="5"/>
    </row>
    <row r="353">
      <c r="C353" s="5"/>
    </row>
    <row r="354">
      <c r="C354" s="5"/>
    </row>
    <row r="355">
      <c r="C355" s="5"/>
    </row>
    <row r="356">
      <c r="C356" s="5"/>
    </row>
    <row r="357">
      <c r="C357" s="5"/>
    </row>
    <row r="358">
      <c r="C358" s="5"/>
    </row>
    <row r="359">
      <c r="C359" s="5"/>
    </row>
    <row r="360">
      <c r="C360" s="5"/>
    </row>
    <row r="361">
      <c r="C361" s="5"/>
    </row>
    <row r="362">
      <c r="C362" s="5"/>
    </row>
    <row r="363">
      <c r="C363" s="5"/>
    </row>
    <row r="364">
      <c r="C364" s="5"/>
    </row>
    <row r="365">
      <c r="C365" s="5"/>
    </row>
    <row r="366">
      <c r="C366" s="5"/>
    </row>
    <row r="367">
      <c r="C367" s="5"/>
    </row>
    <row r="368">
      <c r="C368" s="5"/>
    </row>
    <row r="369">
      <c r="C369" s="5"/>
    </row>
    <row r="370">
      <c r="C370" s="5"/>
    </row>
    <row r="371">
      <c r="C371" s="5"/>
    </row>
    <row r="372">
      <c r="C372" s="5"/>
    </row>
    <row r="373">
      <c r="C373" s="5"/>
    </row>
    <row r="374">
      <c r="C374" s="5"/>
    </row>
    <row r="375">
      <c r="C375" s="5"/>
    </row>
    <row r="376">
      <c r="C376" s="5"/>
    </row>
    <row r="377">
      <c r="C377" s="5"/>
    </row>
    <row r="378">
      <c r="C378" s="5"/>
    </row>
    <row r="379">
      <c r="C379" s="5"/>
    </row>
    <row r="380">
      <c r="C380" s="5"/>
    </row>
    <row r="381">
      <c r="C381" s="5"/>
    </row>
    <row r="382">
      <c r="C382" s="5"/>
    </row>
    <row r="383">
      <c r="C383" s="5"/>
    </row>
    <row r="384">
      <c r="C384" s="5"/>
    </row>
    <row r="385">
      <c r="C385" s="5"/>
    </row>
    <row r="386">
      <c r="C386" s="5"/>
    </row>
    <row r="387">
      <c r="C387" s="5"/>
    </row>
    <row r="388">
      <c r="C388" s="5"/>
    </row>
    <row r="389">
      <c r="C389" s="5"/>
    </row>
    <row r="390">
      <c r="C390" s="5"/>
    </row>
    <row r="391">
      <c r="C391" s="5"/>
    </row>
    <row r="392">
      <c r="C392" s="5"/>
    </row>
    <row r="393">
      <c r="C393" s="5"/>
    </row>
    <row r="394">
      <c r="C394" s="5"/>
    </row>
    <row r="395">
      <c r="C395" s="5"/>
    </row>
    <row r="396">
      <c r="C396" s="5"/>
    </row>
    <row r="397">
      <c r="C397" s="5"/>
    </row>
    <row r="398">
      <c r="C398" s="5"/>
    </row>
    <row r="399">
      <c r="C399" s="5"/>
    </row>
    <row r="400">
      <c r="C400" s="5"/>
    </row>
    <row r="401">
      <c r="C401" s="5"/>
    </row>
    <row r="402">
      <c r="C402" s="5"/>
    </row>
    <row r="403">
      <c r="C403" s="5"/>
    </row>
    <row r="404">
      <c r="C404" s="5"/>
    </row>
    <row r="405">
      <c r="C405" s="5"/>
    </row>
    <row r="406">
      <c r="C406" s="5"/>
    </row>
    <row r="407">
      <c r="C407" s="5"/>
    </row>
    <row r="408">
      <c r="C408" s="5"/>
    </row>
    <row r="409">
      <c r="C409" s="5"/>
    </row>
    <row r="410">
      <c r="C410" s="5"/>
    </row>
    <row r="411">
      <c r="C411" s="5"/>
    </row>
    <row r="412">
      <c r="C412" s="5"/>
    </row>
    <row r="413">
      <c r="C413" s="5"/>
    </row>
    <row r="414">
      <c r="C414" s="5"/>
    </row>
    <row r="415">
      <c r="C415" s="5"/>
    </row>
    <row r="416">
      <c r="C416" s="5"/>
    </row>
    <row r="417">
      <c r="C417" s="5"/>
    </row>
    <row r="418">
      <c r="C418" s="5"/>
    </row>
    <row r="419">
      <c r="C419" s="5"/>
    </row>
    <row r="420">
      <c r="C420" s="5"/>
    </row>
    <row r="421">
      <c r="C421" s="5"/>
    </row>
    <row r="422">
      <c r="C422" s="5"/>
    </row>
    <row r="423">
      <c r="C423" s="5"/>
    </row>
    <row r="424">
      <c r="C424" s="5"/>
    </row>
    <row r="425">
      <c r="C425" s="5"/>
    </row>
    <row r="426">
      <c r="C426" s="5"/>
    </row>
    <row r="427">
      <c r="C427" s="5"/>
    </row>
    <row r="428">
      <c r="C428" s="5"/>
    </row>
    <row r="429">
      <c r="C429" s="5"/>
    </row>
    <row r="430">
      <c r="C430" s="5"/>
    </row>
    <row r="431">
      <c r="C431" s="5"/>
    </row>
    <row r="432">
      <c r="C432" s="5"/>
    </row>
    <row r="433">
      <c r="C433" s="5"/>
    </row>
    <row r="434">
      <c r="C434" s="5"/>
    </row>
    <row r="435">
      <c r="C435" s="5"/>
    </row>
    <row r="436">
      <c r="C436" s="5"/>
    </row>
    <row r="437">
      <c r="C437" s="5"/>
    </row>
    <row r="438">
      <c r="C438" s="5"/>
    </row>
    <row r="439">
      <c r="C439" s="5"/>
    </row>
    <row r="440">
      <c r="C440" s="5"/>
    </row>
    <row r="441">
      <c r="C441" s="5"/>
    </row>
    <row r="442">
      <c r="C442" s="5"/>
    </row>
    <row r="443">
      <c r="C443" s="5"/>
    </row>
    <row r="444">
      <c r="C444" s="5"/>
    </row>
    <row r="445">
      <c r="C445" s="5"/>
    </row>
    <row r="446">
      <c r="C446" s="5"/>
    </row>
    <row r="447">
      <c r="C447" s="5"/>
    </row>
    <row r="448">
      <c r="C448" s="5"/>
    </row>
    <row r="449">
      <c r="C449" s="5"/>
    </row>
    <row r="450">
      <c r="C450" s="5"/>
    </row>
    <row r="451">
      <c r="C451" s="5"/>
    </row>
    <row r="452">
      <c r="C452" s="5"/>
    </row>
    <row r="453">
      <c r="C453" s="5"/>
    </row>
    <row r="454">
      <c r="C454" s="5"/>
    </row>
    <row r="455">
      <c r="C455" s="5"/>
    </row>
    <row r="456">
      <c r="C456" s="5"/>
    </row>
    <row r="457">
      <c r="C457" s="5"/>
    </row>
    <row r="458">
      <c r="C458" s="5"/>
    </row>
    <row r="459">
      <c r="C459" s="5"/>
    </row>
    <row r="460">
      <c r="C460" s="5"/>
    </row>
    <row r="461">
      <c r="C461" s="5"/>
    </row>
    <row r="462">
      <c r="C462" s="5"/>
    </row>
    <row r="463">
      <c r="C463" s="5"/>
    </row>
    <row r="464">
      <c r="C464" s="5"/>
    </row>
    <row r="465">
      <c r="C465" s="5"/>
    </row>
    <row r="466">
      <c r="C466" s="5"/>
    </row>
    <row r="467">
      <c r="C467" s="5"/>
    </row>
    <row r="468">
      <c r="C468" s="5"/>
    </row>
    <row r="469">
      <c r="C469" s="5"/>
    </row>
    <row r="470">
      <c r="C470" s="5"/>
    </row>
    <row r="471">
      <c r="C471" s="5"/>
    </row>
    <row r="472">
      <c r="C472" s="5"/>
    </row>
    <row r="473">
      <c r="C473" s="5"/>
    </row>
    <row r="474">
      <c r="C474" s="5"/>
    </row>
    <row r="475">
      <c r="C475" s="5"/>
    </row>
    <row r="476">
      <c r="C476" s="5"/>
    </row>
    <row r="477">
      <c r="C477" s="5"/>
    </row>
    <row r="478">
      <c r="C478" s="5"/>
    </row>
    <row r="479">
      <c r="C479" s="5"/>
    </row>
    <row r="480">
      <c r="C480" s="5"/>
    </row>
    <row r="481">
      <c r="C481" s="5"/>
    </row>
    <row r="482">
      <c r="C482" s="5"/>
    </row>
    <row r="483">
      <c r="C483" s="5"/>
    </row>
    <row r="484">
      <c r="C484" s="5"/>
    </row>
    <row r="485">
      <c r="C485" s="5"/>
    </row>
    <row r="486">
      <c r="C486" s="5"/>
    </row>
    <row r="487">
      <c r="C487" s="5"/>
    </row>
    <row r="488">
      <c r="C488" s="5"/>
    </row>
    <row r="489">
      <c r="C489" s="5"/>
    </row>
    <row r="490">
      <c r="C490" s="5"/>
    </row>
    <row r="491">
      <c r="C491" s="5"/>
    </row>
    <row r="492">
      <c r="C492" s="5"/>
    </row>
    <row r="493">
      <c r="C493" s="5"/>
    </row>
    <row r="494">
      <c r="C494" s="5"/>
    </row>
    <row r="495">
      <c r="C495" s="5"/>
    </row>
    <row r="496">
      <c r="C496" s="5"/>
    </row>
    <row r="497">
      <c r="C497" s="5"/>
    </row>
    <row r="498">
      <c r="C498" s="5"/>
    </row>
    <row r="499">
      <c r="C499" s="5"/>
    </row>
    <row r="500">
      <c r="C500" s="5"/>
    </row>
    <row r="501">
      <c r="C501" s="5"/>
    </row>
    <row r="502">
      <c r="C502" s="5"/>
    </row>
    <row r="503">
      <c r="C503" s="5"/>
    </row>
    <row r="504">
      <c r="C504" s="5"/>
    </row>
    <row r="505">
      <c r="C505" s="5"/>
    </row>
    <row r="506">
      <c r="C506" s="5"/>
    </row>
    <row r="507">
      <c r="C507" s="5"/>
    </row>
    <row r="508">
      <c r="C508" s="5"/>
    </row>
    <row r="509">
      <c r="C509" s="5"/>
    </row>
    <row r="510">
      <c r="C510" s="5"/>
    </row>
    <row r="511">
      <c r="C511" s="5"/>
    </row>
    <row r="512">
      <c r="C512" s="5"/>
    </row>
    <row r="513">
      <c r="C513" s="5"/>
    </row>
    <row r="514">
      <c r="C514" s="5"/>
    </row>
    <row r="515">
      <c r="C515" s="5"/>
    </row>
    <row r="516">
      <c r="C516" s="5"/>
    </row>
    <row r="517">
      <c r="C517" s="5"/>
    </row>
    <row r="518">
      <c r="C518" s="5"/>
    </row>
    <row r="519">
      <c r="C519" s="5"/>
    </row>
    <row r="520">
      <c r="C520" s="5"/>
    </row>
    <row r="521">
      <c r="C521" s="5"/>
    </row>
    <row r="522">
      <c r="C522" s="5"/>
    </row>
    <row r="523">
      <c r="C523" s="5"/>
    </row>
    <row r="524">
      <c r="C524" s="5"/>
    </row>
    <row r="525">
      <c r="C525" s="5"/>
    </row>
    <row r="526">
      <c r="C526" s="5"/>
    </row>
    <row r="527">
      <c r="C527" s="5"/>
    </row>
    <row r="528">
      <c r="C528" s="5"/>
    </row>
    <row r="529">
      <c r="C529" s="5"/>
    </row>
    <row r="530">
      <c r="C530" s="5"/>
    </row>
    <row r="531">
      <c r="C531" s="5"/>
    </row>
    <row r="532">
      <c r="C532" s="5"/>
    </row>
    <row r="533">
      <c r="C533" s="5"/>
    </row>
    <row r="534">
      <c r="C534" s="5"/>
    </row>
    <row r="535">
      <c r="C535" s="5"/>
    </row>
    <row r="536">
      <c r="C536" s="5"/>
    </row>
    <row r="537">
      <c r="C537" s="5"/>
    </row>
    <row r="538">
      <c r="C538" s="5"/>
    </row>
    <row r="539">
      <c r="C539" s="5"/>
    </row>
    <row r="540">
      <c r="C540" s="5"/>
    </row>
    <row r="541">
      <c r="C541" s="5"/>
    </row>
    <row r="542">
      <c r="C542" s="5"/>
    </row>
    <row r="543">
      <c r="C543" s="5"/>
    </row>
    <row r="544">
      <c r="C544" s="5"/>
    </row>
    <row r="545">
      <c r="C545" s="5"/>
    </row>
    <row r="546">
      <c r="C546" s="5"/>
    </row>
    <row r="547">
      <c r="C547" s="5"/>
    </row>
    <row r="548">
      <c r="C548" s="5"/>
    </row>
    <row r="549">
      <c r="C549" s="5"/>
    </row>
    <row r="550">
      <c r="C550" s="5"/>
    </row>
    <row r="551">
      <c r="C551" s="5"/>
    </row>
    <row r="552">
      <c r="C552" s="5"/>
    </row>
    <row r="553">
      <c r="C553" s="5"/>
    </row>
    <row r="554">
      <c r="C554" s="5"/>
    </row>
    <row r="555">
      <c r="C555" s="5"/>
    </row>
    <row r="556">
      <c r="C556" s="5"/>
    </row>
    <row r="557">
      <c r="C557" s="5"/>
    </row>
    <row r="558">
      <c r="C558" s="5"/>
    </row>
    <row r="559">
      <c r="C559" s="5"/>
    </row>
    <row r="560">
      <c r="C560" s="5"/>
    </row>
    <row r="561">
      <c r="C561" s="5"/>
    </row>
    <row r="562">
      <c r="C562" s="5"/>
    </row>
    <row r="563">
      <c r="C563" s="5"/>
    </row>
    <row r="564">
      <c r="C564" s="5"/>
    </row>
    <row r="565">
      <c r="C565" s="5"/>
    </row>
    <row r="566">
      <c r="C566" s="5"/>
    </row>
    <row r="567">
      <c r="C567" s="5"/>
    </row>
    <row r="568">
      <c r="C568" s="5"/>
    </row>
    <row r="569">
      <c r="C569" s="5"/>
    </row>
    <row r="570">
      <c r="C570" s="5"/>
    </row>
    <row r="571">
      <c r="C571" s="5"/>
    </row>
    <row r="572">
      <c r="C572" s="5"/>
    </row>
    <row r="573">
      <c r="C573" s="5"/>
    </row>
    <row r="574">
      <c r="C574" s="5"/>
    </row>
    <row r="575">
      <c r="C575" s="5"/>
    </row>
    <row r="576">
      <c r="C576" s="5"/>
    </row>
    <row r="577">
      <c r="C577" s="5"/>
    </row>
    <row r="578">
      <c r="C578" s="5"/>
    </row>
    <row r="579">
      <c r="C579" s="5"/>
    </row>
    <row r="580">
      <c r="C580" s="5"/>
    </row>
    <row r="581">
      <c r="C581" s="5"/>
    </row>
    <row r="582">
      <c r="C582" s="5"/>
    </row>
    <row r="583">
      <c r="C583" s="5"/>
    </row>
    <row r="584">
      <c r="C584" s="5"/>
    </row>
    <row r="585">
      <c r="C585" s="5"/>
    </row>
    <row r="586">
      <c r="C586" s="5"/>
    </row>
    <row r="587">
      <c r="C587" s="5"/>
    </row>
    <row r="588">
      <c r="C588" s="5"/>
    </row>
    <row r="589">
      <c r="C589" s="5"/>
    </row>
    <row r="590">
      <c r="C590" s="5"/>
    </row>
    <row r="591">
      <c r="C591" s="5"/>
    </row>
    <row r="592">
      <c r="C592" s="5"/>
    </row>
    <row r="593">
      <c r="C593" s="5"/>
    </row>
    <row r="594">
      <c r="C594" s="5"/>
    </row>
    <row r="595">
      <c r="C595" s="5"/>
    </row>
    <row r="596">
      <c r="C596" s="5"/>
    </row>
    <row r="597">
      <c r="C597" s="5"/>
    </row>
    <row r="598">
      <c r="C598" s="5"/>
    </row>
    <row r="599">
      <c r="C599" s="5"/>
    </row>
    <row r="600">
      <c r="C600" s="5"/>
    </row>
    <row r="601">
      <c r="C601" s="5"/>
    </row>
    <row r="602">
      <c r="C602" s="5"/>
    </row>
    <row r="603">
      <c r="C603" s="5"/>
    </row>
    <row r="604">
      <c r="C604" s="5"/>
    </row>
    <row r="605">
      <c r="C605" s="5"/>
    </row>
    <row r="606">
      <c r="C606" s="5"/>
    </row>
    <row r="607">
      <c r="C607" s="5"/>
    </row>
    <row r="608">
      <c r="C608" s="5"/>
    </row>
    <row r="609">
      <c r="C609" s="5"/>
    </row>
    <row r="610">
      <c r="C610" s="5"/>
    </row>
    <row r="611">
      <c r="C611" s="5"/>
    </row>
    <row r="612">
      <c r="C612" s="5"/>
    </row>
    <row r="613">
      <c r="C613" s="5"/>
    </row>
    <row r="614">
      <c r="C614" s="5"/>
    </row>
    <row r="615">
      <c r="C615" s="5"/>
    </row>
    <row r="616">
      <c r="C616" s="5"/>
    </row>
    <row r="617">
      <c r="C617" s="5"/>
    </row>
    <row r="618">
      <c r="C618" s="5"/>
    </row>
    <row r="619">
      <c r="C619" s="5"/>
    </row>
    <row r="620">
      <c r="C620" s="5"/>
    </row>
    <row r="621">
      <c r="C621" s="5"/>
    </row>
    <row r="622">
      <c r="C622" s="5"/>
    </row>
    <row r="623">
      <c r="C623" s="5"/>
    </row>
    <row r="624">
      <c r="C624" s="5"/>
    </row>
    <row r="625">
      <c r="C625" s="5"/>
    </row>
    <row r="626">
      <c r="C626" s="5"/>
    </row>
    <row r="627">
      <c r="C627" s="5"/>
    </row>
    <row r="628">
      <c r="C628" s="5"/>
    </row>
    <row r="629">
      <c r="C629" s="5"/>
    </row>
    <row r="630">
      <c r="C630" s="5"/>
    </row>
    <row r="631">
      <c r="C631" s="5"/>
    </row>
    <row r="632">
      <c r="C632" s="5"/>
    </row>
    <row r="633">
      <c r="C633" s="5"/>
    </row>
    <row r="634">
      <c r="C634" s="5"/>
    </row>
    <row r="635">
      <c r="C635" s="5"/>
    </row>
    <row r="636">
      <c r="C636" s="5"/>
    </row>
    <row r="637">
      <c r="C637" s="5"/>
    </row>
    <row r="638">
      <c r="C638" s="5"/>
    </row>
    <row r="639">
      <c r="C639" s="5"/>
    </row>
    <row r="640">
      <c r="C640" s="5"/>
    </row>
    <row r="641">
      <c r="C641" s="5"/>
    </row>
    <row r="642">
      <c r="C642" s="5"/>
    </row>
    <row r="643">
      <c r="C643" s="5"/>
    </row>
    <row r="644">
      <c r="C644" s="5"/>
    </row>
    <row r="645">
      <c r="C645" s="5"/>
    </row>
    <row r="646">
      <c r="C646" s="5"/>
    </row>
    <row r="647">
      <c r="C647" s="5"/>
    </row>
    <row r="648">
      <c r="C648" s="5"/>
    </row>
    <row r="649">
      <c r="C649" s="5"/>
    </row>
    <row r="650">
      <c r="C650" s="5"/>
    </row>
    <row r="651">
      <c r="C651" s="5"/>
    </row>
    <row r="652">
      <c r="C652" s="5"/>
    </row>
    <row r="653">
      <c r="C653" s="5"/>
    </row>
    <row r="654">
      <c r="C654" s="5"/>
    </row>
    <row r="655">
      <c r="C655" s="5"/>
    </row>
    <row r="656">
      <c r="C656" s="5"/>
    </row>
    <row r="657">
      <c r="C657" s="5"/>
    </row>
    <row r="658">
      <c r="C658" s="5"/>
    </row>
    <row r="659">
      <c r="C659" s="5"/>
    </row>
    <row r="660">
      <c r="C660" s="5"/>
    </row>
    <row r="661">
      <c r="C661" s="5"/>
    </row>
    <row r="662">
      <c r="C662" s="5"/>
    </row>
    <row r="663">
      <c r="C663" s="5"/>
    </row>
    <row r="664">
      <c r="C664" s="5"/>
    </row>
    <row r="665">
      <c r="C665" s="5"/>
    </row>
    <row r="666">
      <c r="C666" s="5"/>
    </row>
    <row r="667">
      <c r="C667" s="5"/>
    </row>
    <row r="668">
      <c r="C668" s="5"/>
    </row>
    <row r="669">
      <c r="C669" s="5"/>
    </row>
    <row r="670">
      <c r="C670" s="5"/>
    </row>
    <row r="671">
      <c r="C671" s="5"/>
    </row>
    <row r="672">
      <c r="C672" s="5"/>
    </row>
    <row r="673">
      <c r="C673" s="5"/>
    </row>
    <row r="674">
      <c r="C674" s="5"/>
    </row>
    <row r="675">
      <c r="C675" s="5"/>
    </row>
    <row r="676">
      <c r="C676" s="5"/>
    </row>
    <row r="677">
      <c r="C677" s="5"/>
    </row>
    <row r="678">
      <c r="C678" s="5"/>
    </row>
    <row r="679">
      <c r="C679" s="5"/>
    </row>
    <row r="680">
      <c r="C680" s="5"/>
    </row>
    <row r="681">
      <c r="C681" s="5"/>
    </row>
    <row r="682">
      <c r="C682" s="5"/>
    </row>
    <row r="683">
      <c r="C683" s="5"/>
    </row>
    <row r="684">
      <c r="C684" s="5"/>
    </row>
    <row r="685">
      <c r="C685" s="5"/>
    </row>
    <row r="686">
      <c r="C686" s="5"/>
    </row>
    <row r="687">
      <c r="C687" s="5"/>
    </row>
    <row r="688">
      <c r="C688" s="5"/>
    </row>
    <row r="689">
      <c r="C689" s="5"/>
    </row>
    <row r="690">
      <c r="C690" s="5"/>
    </row>
    <row r="691">
      <c r="C691" s="5"/>
    </row>
    <row r="692">
      <c r="C692" s="5"/>
    </row>
    <row r="693">
      <c r="C693" s="5"/>
    </row>
    <row r="694">
      <c r="C694" s="5"/>
    </row>
    <row r="695">
      <c r="C695" s="5"/>
    </row>
    <row r="696">
      <c r="C696" s="5"/>
    </row>
    <row r="697">
      <c r="C697" s="5"/>
    </row>
    <row r="698">
      <c r="C698" s="5"/>
    </row>
    <row r="699">
      <c r="C699" s="5"/>
    </row>
    <row r="700">
      <c r="C700" s="5"/>
    </row>
    <row r="701">
      <c r="C701" s="5"/>
    </row>
    <row r="702">
      <c r="C702" s="5"/>
    </row>
    <row r="703">
      <c r="C703" s="5"/>
    </row>
    <row r="704">
      <c r="C704" s="5"/>
    </row>
    <row r="705">
      <c r="C705" s="5"/>
    </row>
    <row r="706">
      <c r="C706" s="5"/>
    </row>
    <row r="707">
      <c r="C707" s="5"/>
    </row>
    <row r="708">
      <c r="C708" s="5"/>
    </row>
    <row r="709">
      <c r="C709" s="5"/>
    </row>
    <row r="710">
      <c r="C710" s="5"/>
    </row>
    <row r="711">
      <c r="C711" s="5"/>
    </row>
    <row r="712">
      <c r="C712" s="5"/>
    </row>
    <row r="713">
      <c r="C713" s="5"/>
    </row>
    <row r="714">
      <c r="C714" s="5"/>
    </row>
    <row r="715">
      <c r="C715" s="5"/>
    </row>
    <row r="716">
      <c r="C716" s="5"/>
    </row>
    <row r="717">
      <c r="C717" s="5"/>
    </row>
    <row r="718">
      <c r="C718" s="5"/>
    </row>
    <row r="719">
      <c r="C719" s="5"/>
    </row>
    <row r="720">
      <c r="C720" s="5"/>
    </row>
    <row r="721">
      <c r="C721" s="5"/>
    </row>
    <row r="722">
      <c r="C722" s="5"/>
    </row>
    <row r="723">
      <c r="C723" s="5"/>
    </row>
    <row r="724">
      <c r="C724" s="5"/>
    </row>
    <row r="725">
      <c r="C725" s="5"/>
    </row>
    <row r="726">
      <c r="C726" s="5"/>
    </row>
    <row r="727">
      <c r="C727" s="5"/>
    </row>
    <row r="728">
      <c r="C728" s="5"/>
    </row>
    <row r="729">
      <c r="C729" s="5"/>
    </row>
    <row r="730">
      <c r="C730" s="5"/>
    </row>
    <row r="731">
      <c r="C731" s="5"/>
    </row>
    <row r="732">
      <c r="C732" s="5"/>
    </row>
    <row r="733">
      <c r="C733" s="5"/>
    </row>
    <row r="734">
      <c r="C734" s="5"/>
    </row>
    <row r="735">
      <c r="C735" s="5"/>
    </row>
    <row r="736">
      <c r="C736" s="5"/>
    </row>
    <row r="737">
      <c r="C737" s="5"/>
    </row>
    <row r="738">
      <c r="C738" s="5"/>
    </row>
    <row r="739">
      <c r="C739" s="5"/>
    </row>
    <row r="740">
      <c r="C740" s="5"/>
    </row>
    <row r="741">
      <c r="C741" s="5"/>
    </row>
    <row r="742">
      <c r="C742" s="5"/>
    </row>
    <row r="743">
      <c r="C743" s="5"/>
    </row>
    <row r="744">
      <c r="C744" s="5"/>
    </row>
    <row r="745">
      <c r="C745" s="5"/>
    </row>
    <row r="746">
      <c r="C746" s="5"/>
    </row>
    <row r="747">
      <c r="C747" s="5"/>
    </row>
    <row r="748">
      <c r="C748" s="5"/>
    </row>
    <row r="749">
      <c r="C749" s="5"/>
    </row>
    <row r="750">
      <c r="C750" s="5"/>
    </row>
    <row r="751">
      <c r="C751" s="5"/>
    </row>
    <row r="752">
      <c r="C752" s="5"/>
    </row>
    <row r="753">
      <c r="C753" s="5"/>
    </row>
    <row r="754">
      <c r="C754" s="5"/>
    </row>
    <row r="755">
      <c r="C755" s="5"/>
    </row>
    <row r="756">
      <c r="C756" s="5"/>
    </row>
    <row r="757">
      <c r="C757" s="5"/>
    </row>
    <row r="758">
      <c r="C758" s="5"/>
    </row>
    <row r="759">
      <c r="C759" s="5"/>
    </row>
    <row r="760">
      <c r="C760" s="5"/>
    </row>
    <row r="761">
      <c r="C761" s="5"/>
    </row>
    <row r="762">
      <c r="C762" s="5"/>
    </row>
    <row r="763">
      <c r="C763" s="5"/>
    </row>
    <row r="764">
      <c r="C764" s="5"/>
    </row>
    <row r="765">
      <c r="C765" s="5"/>
    </row>
    <row r="766">
      <c r="C766" s="5"/>
    </row>
    <row r="767">
      <c r="C767" s="5"/>
    </row>
    <row r="768">
      <c r="C768" s="5"/>
    </row>
    <row r="769">
      <c r="C769" s="5"/>
    </row>
    <row r="770">
      <c r="C770" s="5"/>
    </row>
    <row r="771">
      <c r="C771" s="5"/>
    </row>
    <row r="772">
      <c r="C772" s="5"/>
    </row>
    <row r="773">
      <c r="C773" s="5"/>
    </row>
    <row r="774">
      <c r="C774" s="5"/>
    </row>
    <row r="775">
      <c r="C775" s="5"/>
    </row>
    <row r="776">
      <c r="C776" s="5"/>
    </row>
    <row r="777">
      <c r="C777" s="5"/>
    </row>
    <row r="778">
      <c r="C778" s="5"/>
    </row>
    <row r="779">
      <c r="C779" s="5"/>
    </row>
    <row r="780">
      <c r="C780" s="5"/>
    </row>
    <row r="781">
      <c r="C781" s="5"/>
    </row>
    <row r="782">
      <c r="C782" s="5"/>
    </row>
    <row r="783">
      <c r="C783" s="5"/>
    </row>
    <row r="784">
      <c r="C784" s="5"/>
    </row>
    <row r="785">
      <c r="C785" s="5"/>
    </row>
    <row r="786">
      <c r="C786" s="5"/>
    </row>
    <row r="787">
      <c r="C787" s="5"/>
    </row>
    <row r="788">
      <c r="C788" s="5"/>
    </row>
    <row r="789">
      <c r="C789" s="5"/>
    </row>
    <row r="790">
      <c r="C790" s="5"/>
    </row>
    <row r="791">
      <c r="C791" s="5"/>
    </row>
    <row r="792">
      <c r="C792" s="5"/>
    </row>
    <row r="793">
      <c r="C793" s="5"/>
    </row>
    <row r="794">
      <c r="C794" s="5"/>
    </row>
    <row r="795">
      <c r="C795" s="5"/>
    </row>
    <row r="796">
      <c r="C796" s="5"/>
    </row>
    <row r="797">
      <c r="C797" s="5"/>
    </row>
    <row r="798">
      <c r="C798" s="5"/>
    </row>
    <row r="799">
      <c r="C799" s="5"/>
    </row>
    <row r="800">
      <c r="C800" s="5"/>
    </row>
    <row r="801">
      <c r="C801" s="5"/>
    </row>
    <row r="802">
      <c r="C802" s="5"/>
    </row>
    <row r="803">
      <c r="C803" s="5"/>
    </row>
    <row r="804">
      <c r="C804" s="5"/>
    </row>
    <row r="805">
      <c r="C805" s="5"/>
    </row>
    <row r="806">
      <c r="C806" s="5"/>
    </row>
    <row r="807">
      <c r="C807" s="5"/>
    </row>
    <row r="808">
      <c r="C808" s="5"/>
    </row>
    <row r="809">
      <c r="C809" s="5"/>
    </row>
    <row r="810">
      <c r="C810" s="5"/>
    </row>
    <row r="811">
      <c r="C811" s="5"/>
    </row>
    <row r="812">
      <c r="C812" s="5"/>
    </row>
    <row r="813">
      <c r="C813" s="5"/>
    </row>
    <row r="814">
      <c r="C814" s="5"/>
    </row>
    <row r="815">
      <c r="C815" s="5"/>
    </row>
    <row r="816">
      <c r="C816" s="5"/>
    </row>
    <row r="817">
      <c r="C817" s="5"/>
    </row>
    <row r="818">
      <c r="C818" s="5"/>
    </row>
    <row r="819">
      <c r="C819" s="5"/>
    </row>
    <row r="820">
      <c r="C820" s="5"/>
    </row>
    <row r="821">
      <c r="C821" s="5"/>
    </row>
    <row r="822">
      <c r="C822" s="5"/>
    </row>
    <row r="823">
      <c r="C823" s="5"/>
    </row>
    <row r="824">
      <c r="C824" s="5"/>
    </row>
    <row r="825">
      <c r="C825" s="5"/>
    </row>
    <row r="826">
      <c r="C826" s="5"/>
    </row>
    <row r="827">
      <c r="C827" s="5"/>
    </row>
    <row r="828">
      <c r="C828" s="5"/>
    </row>
    <row r="829">
      <c r="C829" s="5"/>
    </row>
    <row r="830">
      <c r="C830" s="5"/>
    </row>
    <row r="831">
      <c r="C831" s="5"/>
    </row>
    <row r="832">
      <c r="C832" s="5"/>
    </row>
    <row r="833">
      <c r="C833" s="5"/>
    </row>
    <row r="834">
      <c r="C834" s="5"/>
    </row>
    <row r="835">
      <c r="C835" s="5"/>
    </row>
    <row r="836">
      <c r="C836" s="5"/>
    </row>
    <row r="837">
      <c r="C837" s="5"/>
    </row>
    <row r="838">
      <c r="C838" s="5"/>
    </row>
    <row r="839">
      <c r="C839" s="5"/>
    </row>
    <row r="840">
      <c r="C840" s="5"/>
    </row>
    <row r="841">
      <c r="C841" s="5"/>
    </row>
    <row r="842">
      <c r="C842" s="5"/>
    </row>
    <row r="843">
      <c r="C843" s="5"/>
    </row>
    <row r="844">
      <c r="C844" s="5"/>
    </row>
    <row r="845">
      <c r="C845" s="5"/>
    </row>
    <row r="846">
      <c r="C846" s="5"/>
    </row>
    <row r="847">
      <c r="C847" s="5"/>
    </row>
    <row r="848">
      <c r="C848" s="5"/>
    </row>
    <row r="849">
      <c r="C849" s="5"/>
    </row>
    <row r="850">
      <c r="C850" s="5"/>
    </row>
    <row r="851">
      <c r="C851" s="5"/>
    </row>
    <row r="852">
      <c r="C852" s="5"/>
    </row>
    <row r="853">
      <c r="C853" s="5"/>
    </row>
    <row r="854">
      <c r="C854" s="5"/>
    </row>
    <row r="855">
      <c r="C855" s="5"/>
    </row>
    <row r="856">
      <c r="C856" s="5"/>
    </row>
    <row r="857">
      <c r="C857" s="5"/>
    </row>
    <row r="858">
      <c r="C858" s="5"/>
    </row>
    <row r="859">
      <c r="C859" s="5"/>
    </row>
    <row r="860">
      <c r="C860" s="5"/>
    </row>
    <row r="861">
      <c r="C861" s="5"/>
    </row>
    <row r="862">
      <c r="C862" s="5"/>
    </row>
    <row r="863">
      <c r="C863" s="5"/>
    </row>
    <row r="864">
      <c r="C864" s="5"/>
    </row>
    <row r="865">
      <c r="C865" s="5"/>
    </row>
    <row r="866">
      <c r="C866" s="5"/>
    </row>
    <row r="867">
      <c r="C867" s="5"/>
    </row>
    <row r="868">
      <c r="C868" s="5"/>
    </row>
    <row r="869">
      <c r="C869" s="5"/>
    </row>
    <row r="870">
      <c r="C870" s="5"/>
    </row>
    <row r="871">
      <c r="C871" s="5"/>
    </row>
    <row r="872">
      <c r="C872" s="5"/>
    </row>
    <row r="873">
      <c r="C873" s="5"/>
    </row>
    <row r="874">
      <c r="C874" s="5"/>
    </row>
    <row r="875">
      <c r="C875" s="5"/>
    </row>
    <row r="876">
      <c r="C876" s="5"/>
    </row>
    <row r="877">
      <c r="C877" s="5"/>
    </row>
    <row r="878">
      <c r="C878" s="5"/>
    </row>
    <row r="879">
      <c r="C879" s="5"/>
    </row>
    <row r="880">
      <c r="C880" s="5"/>
    </row>
    <row r="881">
      <c r="C881" s="5"/>
    </row>
    <row r="882">
      <c r="C882" s="5"/>
    </row>
    <row r="883">
      <c r="C883" s="5"/>
    </row>
    <row r="884">
      <c r="C884" s="5"/>
    </row>
    <row r="885">
      <c r="C885" s="5"/>
    </row>
    <row r="886">
      <c r="C886" s="5"/>
    </row>
    <row r="887">
      <c r="C887" s="5"/>
    </row>
    <row r="888">
      <c r="C888" s="5"/>
    </row>
    <row r="889">
      <c r="C889" s="5"/>
    </row>
    <row r="890">
      <c r="C890" s="5"/>
    </row>
    <row r="891">
      <c r="C891" s="5"/>
    </row>
    <row r="892">
      <c r="C892" s="5"/>
    </row>
    <row r="893">
      <c r="C893" s="5"/>
    </row>
    <row r="894">
      <c r="C894" s="5"/>
    </row>
    <row r="895">
      <c r="C895" s="5"/>
    </row>
    <row r="896">
      <c r="C896" s="5"/>
    </row>
    <row r="897">
      <c r="C897" s="5"/>
    </row>
    <row r="898">
      <c r="C898" s="5"/>
    </row>
    <row r="899">
      <c r="C899" s="5"/>
    </row>
    <row r="900">
      <c r="C900" s="5"/>
    </row>
    <row r="901">
      <c r="C901" s="5"/>
    </row>
    <row r="902">
      <c r="C902" s="5"/>
    </row>
    <row r="903">
      <c r="C903" s="5"/>
    </row>
    <row r="904">
      <c r="C904" s="5"/>
    </row>
    <row r="905">
      <c r="C905" s="5"/>
    </row>
    <row r="906">
      <c r="C906" s="5"/>
    </row>
    <row r="907">
      <c r="C907" s="5"/>
    </row>
    <row r="908">
      <c r="C908" s="5"/>
    </row>
    <row r="909">
      <c r="C909" s="5"/>
    </row>
    <row r="910">
      <c r="C910" s="5"/>
    </row>
    <row r="911">
      <c r="C911" s="5"/>
    </row>
    <row r="912">
      <c r="C912" s="5"/>
    </row>
    <row r="913">
      <c r="C913" s="5"/>
    </row>
    <row r="914">
      <c r="C914" s="5"/>
    </row>
    <row r="915">
      <c r="C915" s="5"/>
    </row>
    <row r="916">
      <c r="C916" s="5"/>
    </row>
    <row r="917">
      <c r="C917" s="5"/>
    </row>
    <row r="918">
      <c r="C918" s="5"/>
    </row>
    <row r="919">
      <c r="C919" s="5"/>
    </row>
    <row r="920">
      <c r="C920" s="5"/>
    </row>
    <row r="921">
      <c r="C921" s="5"/>
    </row>
    <row r="922">
      <c r="C922" s="5"/>
    </row>
    <row r="923">
      <c r="C923" s="5"/>
    </row>
    <row r="924">
      <c r="C924" s="5"/>
    </row>
    <row r="925">
      <c r="C925" s="5"/>
    </row>
    <row r="926">
      <c r="C926" s="5"/>
    </row>
    <row r="927">
      <c r="C927" s="5"/>
    </row>
    <row r="928">
      <c r="C928" s="5"/>
    </row>
    <row r="929">
      <c r="C929" s="5"/>
    </row>
    <row r="930">
      <c r="C930" s="5"/>
    </row>
    <row r="931">
      <c r="C931" s="5"/>
    </row>
    <row r="932">
      <c r="C932" s="5"/>
    </row>
    <row r="933">
      <c r="C933" s="5"/>
    </row>
    <row r="934">
      <c r="C934" s="5"/>
    </row>
    <row r="935">
      <c r="C935" s="5"/>
    </row>
    <row r="936">
      <c r="C936" s="5"/>
    </row>
    <row r="937">
      <c r="C937" s="5"/>
    </row>
    <row r="938">
      <c r="C938" s="5"/>
    </row>
    <row r="939">
      <c r="C939" s="5"/>
    </row>
    <row r="940">
      <c r="C940" s="5"/>
    </row>
    <row r="941">
      <c r="C941" s="5"/>
    </row>
    <row r="942">
      <c r="C942" s="5"/>
    </row>
    <row r="943">
      <c r="C943" s="5"/>
    </row>
    <row r="944">
      <c r="C944" s="5"/>
    </row>
    <row r="945">
      <c r="C945" s="5"/>
    </row>
    <row r="946">
      <c r="C946" s="5"/>
    </row>
    <row r="947">
      <c r="C947" s="5"/>
    </row>
    <row r="948">
      <c r="C948" s="5"/>
    </row>
    <row r="949">
      <c r="C949" s="5"/>
    </row>
    <row r="950">
      <c r="C950" s="5"/>
    </row>
    <row r="951">
      <c r="C951" s="5"/>
    </row>
    <row r="952">
      <c r="C952" s="5"/>
    </row>
    <row r="953">
      <c r="C953" s="5"/>
    </row>
    <row r="954">
      <c r="C954" s="5"/>
    </row>
    <row r="955">
      <c r="C955" s="5"/>
    </row>
    <row r="956">
      <c r="C956" s="5"/>
    </row>
    <row r="957">
      <c r="C957" s="5"/>
    </row>
    <row r="958">
      <c r="C958" s="5"/>
    </row>
    <row r="959">
      <c r="C959" s="5"/>
    </row>
    <row r="960">
      <c r="C960" s="5"/>
    </row>
    <row r="961">
      <c r="C961" s="5"/>
    </row>
    <row r="962">
      <c r="C962" s="5"/>
    </row>
    <row r="963">
      <c r="C963" s="5"/>
    </row>
    <row r="964">
      <c r="C964" s="5"/>
    </row>
    <row r="965">
      <c r="C965" s="5"/>
    </row>
    <row r="966">
      <c r="C966" s="5"/>
    </row>
    <row r="967">
      <c r="C967" s="5"/>
    </row>
    <row r="968">
      <c r="C968" s="5"/>
    </row>
    <row r="969">
      <c r="C969" s="5"/>
    </row>
    <row r="970">
      <c r="C970" s="5"/>
    </row>
    <row r="971">
      <c r="C971" s="5"/>
    </row>
    <row r="972">
      <c r="C972" s="5"/>
    </row>
    <row r="973">
      <c r="C973" s="5"/>
    </row>
    <row r="974">
      <c r="C974" s="5"/>
    </row>
    <row r="975">
      <c r="C975" s="5"/>
    </row>
    <row r="976">
      <c r="C976" s="5"/>
    </row>
  </sheetData>
  <conditionalFormatting sqref="C1:C976">
    <cfRule type="colorScale" priority="1">
      <colorScale>
        <cfvo type="min"/>
        <cfvo type="max"/>
        <color rgb="FFFFFFFF"/>
        <color rgb="FF57BB8A"/>
      </colorScale>
    </cfRule>
  </conditionalFormatting>
  <drawing r:id="rId1"/>
  <extLst>
    <ext uri="{05C60535-1F16-4fd2-B633-F4F36F0B64E0}">
      <x14:sparklineGroups>
        <x14:sparklineGroup type="column" displayEmptyCellsAs="gap" high="1">
          <x14:colorSeries rgb="FF90EE90"/>
          <x14:colorHigh rgb="FF008000"/>
          <x14:sparklines>
            <x14:sparkline>
              <xm:f>Sheet1!AG3:BF3</xm:f>
              <xm:sqref>B3</xm:sqref>
            </x14:sparkline>
          </x14:sparklines>
        </x14:sparklineGroup>
        <x14:sparklineGroup type="column" displayEmptyCellsAs="gap" high="1">
          <x14:colorSeries rgb="FF90EE90"/>
          <x14:colorHigh rgb="FF008000"/>
          <x14:sparklines>
            <x14:sparkline>
              <xm:f>Sheet1!AG4:BF4</xm:f>
              <xm:sqref>B4</xm:sqref>
            </x14:sparkline>
          </x14:sparklines>
        </x14:sparklineGroup>
        <x14:sparklineGroup type="column" displayEmptyCellsAs="gap" high="1">
          <x14:colorSeries rgb="FF90EE90"/>
          <x14:colorHigh rgb="FF008000"/>
          <x14:sparklines>
            <x14:sparkline>
              <xm:f>Sheet1!AG5:BF5</xm:f>
              <xm:sqref>B5</xm:sqref>
            </x14:sparkline>
          </x14:sparklines>
        </x14:sparklineGroup>
        <x14:sparklineGroup type="column" displayEmptyCellsAs="gap" high="1">
          <x14:colorSeries rgb="FF90EE90"/>
          <x14:colorHigh rgb="FF008000"/>
          <x14:sparklines>
            <x14:sparkline>
              <xm:f>Sheet1!AG6:BF6</xm:f>
              <xm:sqref>B6</xm:sqref>
            </x14:sparkline>
          </x14:sparklines>
        </x14:sparklineGroup>
        <x14:sparklineGroup type="column" displayEmptyCellsAs="gap" high="1">
          <x14:colorSeries rgb="FF90EE90"/>
          <x14:colorHigh rgb="FF008000"/>
          <x14:sparklines>
            <x14:sparkline>
              <xm:f>Sheet1!AG7:BF7</xm:f>
              <xm:sqref>B7</xm:sqref>
            </x14:sparkline>
          </x14:sparklines>
        </x14:sparklineGroup>
        <x14:sparklineGroup type="column" displayEmptyCellsAs="gap" high="1">
          <x14:colorSeries rgb="FF90EE90"/>
          <x14:colorHigh rgb="FF008000"/>
          <x14:sparklines>
            <x14:sparkline>
              <xm:f>Sheet1!AG8:BF8</xm:f>
              <xm:sqref>B8</xm:sqref>
            </x14:sparkline>
          </x14:sparklines>
        </x14:sparklineGroup>
        <x14:sparklineGroup type="column" displayEmptyCellsAs="gap" high="1">
          <x14:colorSeries rgb="FF90EE90"/>
          <x14:colorHigh rgb="FF008000"/>
          <x14:sparklines>
            <x14:sparkline>
              <xm:f>Sheet1!AG10:BF10</xm:f>
              <xm:sqref>B10</xm:sqref>
            </x14:sparkline>
          </x14:sparklines>
        </x14:sparklineGroup>
        <x14:sparklineGroup type="column" displayEmptyCellsAs="gap" high="1">
          <x14:colorSeries rgb="FF90EE90"/>
          <x14:colorHigh rgb="FF008000"/>
          <x14:sparklines>
            <x14:sparkline>
              <xm:f>Sheet1!AG11:BF11</xm:f>
              <xm:sqref>B11</xm:sqref>
            </x14:sparkline>
          </x14:sparklines>
        </x14:sparklineGroup>
        <x14:sparklineGroup type="column" displayEmptyCellsAs="gap" high="1">
          <x14:colorSeries rgb="FF90EE90"/>
          <x14:colorHigh rgb="FF008000"/>
          <x14:sparklines>
            <x14:sparkline>
              <xm:f>Sheet1!AG12:BF12</xm:f>
              <xm:sqref>B12</xm:sqref>
            </x14:sparkline>
          </x14:sparklines>
        </x14:sparklineGroup>
        <x14:sparklineGroup type="column" displayEmptyCellsAs="gap" high="1">
          <x14:colorSeries rgb="FF90EE90"/>
          <x14:colorHigh rgb="FF008000"/>
          <x14:sparklines>
            <x14:sparkline>
              <xm:f>Sheet1!AG13:BF13</xm:f>
              <xm:sqref>B13</xm:sqref>
            </x14:sparkline>
          </x14:sparklines>
        </x14:sparklineGroup>
        <x14:sparklineGroup type="column" displayEmptyCellsAs="gap" high="1">
          <x14:colorSeries rgb="FF90EE90"/>
          <x14:colorHigh rgb="FF008000"/>
          <x14:sparklines>
            <x14:sparkline>
              <xm:f>Sheet1!AG14:BF14</xm:f>
              <xm:sqref>B14</xm:sqref>
            </x14:sparkline>
          </x14:sparklines>
        </x14:sparklineGroup>
        <x14:sparklineGroup type="column" displayEmptyCellsAs="gap" high="1">
          <x14:colorSeries rgb="FF90EE90"/>
          <x14:colorHigh rgb="FF008000"/>
          <x14:sparklines>
            <x14:sparkline>
              <xm:f>Sheet1!AG15:BF15</xm:f>
              <xm:sqref>B15</xm:sqref>
            </x14:sparkline>
          </x14:sparklines>
        </x14:sparklineGroup>
        <x14:sparklineGroup type="column" displayEmptyCellsAs="gap" high="1">
          <x14:colorSeries rgb="FF90EE90"/>
          <x14:colorHigh rgb="FF008000"/>
          <x14:sparklines>
            <x14:sparkline>
              <xm:f>Sheet1!AG16:BF16</xm:f>
              <xm:sqref>B16</xm:sqref>
            </x14:sparkline>
          </x14:sparklines>
        </x14:sparklineGroup>
        <x14:sparklineGroup type="column" displayEmptyCellsAs="gap" high="1">
          <x14:colorSeries rgb="FF90EE90"/>
          <x14:colorHigh rgb="FF008000"/>
          <x14:sparklines>
            <x14:sparkline>
              <xm:f>Sheet1!AG17:BF17</xm:f>
              <xm:sqref>B17</xm:sqref>
            </x14:sparkline>
          </x14:sparklines>
        </x14:sparklineGroup>
        <x14:sparklineGroup type="column" displayEmptyCellsAs="gap" high="1">
          <x14:colorSeries rgb="FF90EE90"/>
          <x14:colorHigh rgb="FF008000"/>
          <x14:sparklines>
            <x14:sparkline>
              <xm:f>Sheet1!AG18:BF18</xm:f>
              <xm:sqref>B18</xm:sqref>
            </x14:sparkline>
          </x14:sparklines>
        </x14:sparklineGroup>
        <x14:sparklineGroup type="column" displayEmptyCellsAs="gap" high="1">
          <x14:colorSeries rgb="FF90EE90"/>
          <x14:colorHigh rgb="FF008000"/>
          <x14:sparklines>
            <x14:sparkline>
              <xm:f>Sheet1!AG19:BF19</xm:f>
              <xm:sqref>B19</xm:sqref>
            </x14:sparkline>
          </x14:sparklines>
        </x14:sparklineGroup>
        <x14:sparklineGroup type="column" displayEmptyCellsAs="gap" high="1">
          <x14:colorSeries rgb="FF90EE90"/>
          <x14:colorHigh rgb="FF008000"/>
          <x14:sparklines>
            <x14:sparkline>
              <xm:f>Sheet1!AG20:BF20</xm:f>
              <xm:sqref>B20</xm:sqref>
            </x14:sparkline>
          </x14:sparklines>
        </x14:sparklineGroup>
        <x14:sparklineGroup type="column" displayEmptyCellsAs="gap" high="1">
          <x14:colorSeries rgb="FF90EE90"/>
          <x14:colorHigh rgb="FF008000"/>
          <x14:sparklines>
            <x14:sparkline>
              <xm:f>Sheet1!AG21:BF21</xm:f>
              <xm:sqref>B21</xm:sqref>
            </x14:sparkline>
          </x14:sparklines>
        </x14:sparklineGroup>
        <x14:sparklineGroup type="column" displayEmptyCellsAs="gap" high="1">
          <x14:colorSeries rgb="FF90EE90"/>
          <x14:colorHigh rgb="FF008000"/>
          <x14:sparklines>
            <x14:sparkline>
              <xm:f>Sheet1!AG22:BF22</xm:f>
              <xm:sqref>B22</xm:sqref>
            </x14:sparkline>
          </x14:sparklines>
        </x14:sparklineGroup>
        <x14:sparklineGroup type="column" displayEmptyCellsAs="gap" high="1">
          <x14:colorSeries rgb="FF90EE90"/>
          <x14:colorHigh rgb="FF008000"/>
          <x14:sparklines>
            <x14:sparkline>
              <xm:f>Sheet1!AG23:BF23</xm:f>
              <xm:sqref>B23</xm:sqref>
            </x14:sparkline>
          </x14:sparklines>
        </x14:sparklineGroup>
        <x14:sparklineGroup type="column" displayEmptyCellsAs="gap" high="1">
          <x14:colorSeries rgb="FF90EE90"/>
          <x14:colorHigh rgb="FF008000"/>
          <x14:sparklines>
            <x14:sparkline>
              <xm:f>Sheet1!AG25:BF25</xm:f>
              <xm:sqref>B25</xm:sqref>
            </x14:sparkline>
          </x14:sparklines>
        </x14:sparklineGroup>
        <x14:sparklineGroup type="column" displayEmptyCellsAs="gap" high="1">
          <x14:colorSeries rgb="FF90EE90"/>
          <x14:colorHigh rgb="FF008000"/>
          <x14:sparklines>
            <x14:sparkline>
              <xm:f>Sheet1!AG26:BF26</xm:f>
              <xm:sqref>B26</xm:sqref>
            </x14:sparkline>
          </x14:sparklines>
        </x14:sparklineGroup>
        <x14:sparklineGroup type="column" displayEmptyCellsAs="gap" high="1">
          <x14:colorSeries rgb="FF90EE90"/>
          <x14:colorHigh rgb="FF008000"/>
          <x14:sparklines>
            <x14:sparkline>
              <xm:f>Sheet1!AG27:BF27</xm:f>
              <xm:sqref>B27</xm:sqref>
            </x14:sparkline>
          </x14:sparklines>
        </x14:sparklineGroup>
        <x14:sparklineGroup type="column" displayEmptyCellsAs="gap" high="1">
          <x14:colorSeries rgb="FF90EE90"/>
          <x14:colorHigh rgb="FF008000"/>
          <x14:sparklines>
            <x14:sparkline>
              <xm:f>Sheet1!AG28:BF28</xm:f>
              <xm:sqref>B28</xm:sqref>
            </x14:sparkline>
          </x14:sparklines>
        </x14:sparklineGroup>
        <x14:sparklineGroup type="column" displayEmptyCellsAs="gap" high="1">
          <x14:colorSeries rgb="FF90EE90"/>
          <x14:colorHigh rgb="FF008000"/>
          <x14:sparklines>
            <x14:sparkline>
              <xm:f>Sheet1!AG29:BF29</xm:f>
              <xm:sqref>B29</xm:sqref>
            </x14:sparkline>
          </x14:sparklines>
        </x14:sparklineGroup>
        <x14:sparklineGroup type="column" displayEmptyCellsAs="gap" high="1">
          <x14:colorSeries rgb="FF90EE90"/>
          <x14:colorHigh rgb="FF008000"/>
          <x14:sparklines>
            <x14:sparkline>
              <xm:f>Sheet1!AG30:BF30</xm:f>
              <xm:sqref>B30</xm:sqref>
            </x14:sparkline>
          </x14:sparklines>
        </x14:sparklineGroup>
        <x14:sparklineGroup type="column" displayEmptyCellsAs="gap" high="1">
          <x14:colorSeries rgb="FF90EE90"/>
          <x14:colorHigh rgb="FF008000"/>
          <x14:sparklines>
            <x14:sparkline>
              <xm:f>Sheet1!AG31:BF31</xm:f>
              <xm:sqref>B31</xm:sqref>
            </x14:sparkline>
          </x14:sparklines>
        </x14:sparklineGroup>
        <x14:sparklineGroup type="column" displayEmptyCellsAs="gap" high="1">
          <x14:colorSeries rgb="FF90EE90"/>
          <x14:colorHigh rgb="FF008000"/>
          <x14:sparklines>
            <x14:sparkline>
              <xm:f>Sheet1!AG32:BF32</xm:f>
              <xm:sqref>B32</xm:sqref>
            </x14:sparkline>
          </x14:sparklines>
        </x14:sparklineGroup>
        <x14:sparklineGroup type="column" displayEmptyCellsAs="gap" high="1">
          <x14:colorSeries rgb="FF90EE90"/>
          <x14:colorHigh rgb="FF008000"/>
          <x14:sparklines>
            <x14:sparkline>
              <xm:f>Sheet1!AG33:BF33</xm:f>
              <xm:sqref>B33</xm:sqref>
            </x14:sparkline>
          </x14:sparklines>
        </x14:sparklineGroup>
        <x14:sparklineGroup type="column" displayEmptyCellsAs="gap" high="1">
          <x14:colorSeries rgb="FF90EE90"/>
          <x14:colorHigh rgb="FF008000"/>
          <x14:sparklines>
            <x14:sparkline>
              <xm:f>Sheet1!AG34:BF34</xm:f>
              <xm:sqref>B34</xm:sqref>
            </x14:sparkline>
          </x14:sparklines>
        </x14:sparklineGroup>
        <x14:sparklineGroup type="column" displayEmptyCellsAs="gap" high="1">
          <x14:colorSeries rgb="FF90EE90"/>
          <x14:colorHigh rgb="FF008000"/>
          <x14:sparklines>
            <x14:sparkline>
              <xm:f>Sheet1!AG35:BF35</xm:f>
              <xm:sqref>B35</xm:sqref>
            </x14:sparkline>
          </x14:sparklines>
        </x14:sparklineGroup>
        <x14:sparklineGroup type="column" displayEmptyCellsAs="gap" high="1">
          <x14:colorSeries rgb="FF90EE90"/>
          <x14:colorHigh rgb="FF008000"/>
          <x14:sparklines>
            <x14:sparkline>
              <xm:f>Sheet1!AG36:BF36</xm:f>
              <xm:sqref>B36</xm:sqref>
            </x14:sparkline>
          </x14:sparklines>
        </x14:sparklineGroup>
        <x14:sparklineGroup type="column" displayEmptyCellsAs="gap" high="1">
          <x14:colorSeries rgb="FF90EE90"/>
          <x14:colorHigh rgb="FF008000"/>
          <x14:sparklines>
            <x14:sparkline>
              <xm:f>Sheet1!AG37:BF37</xm:f>
              <xm:sqref>B37</xm:sqref>
            </x14:sparkline>
          </x14:sparklines>
        </x14:sparklineGroup>
        <x14:sparklineGroup type="column" displayEmptyCellsAs="gap" high="1">
          <x14:colorSeries rgb="FF90EE90"/>
          <x14:colorHigh rgb="FF008000"/>
          <x14:sparklines>
            <x14:sparkline>
              <xm:f>Sheet1!AG38:BF38</xm:f>
              <xm:sqref>B38</xm:sqref>
            </x14:sparkline>
          </x14:sparklines>
        </x14:sparklineGroup>
        <x14:sparklineGroup type="column" displayEmptyCellsAs="gap" high="1">
          <x14:colorSeries rgb="FF90EE90"/>
          <x14:colorHigh rgb="FF008000"/>
          <x14:sparklines>
            <x14:sparkline>
              <xm:f>Sheet1!AG39:BF39</xm:f>
              <xm:sqref>B39</xm:sqref>
            </x14:sparkline>
          </x14:sparklines>
        </x14:sparklineGroup>
      </x14:sparklineGroups>
    </ext>
  </extLst>
</worksheet>
</file>